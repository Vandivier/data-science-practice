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data-science-practice\sql\dice-salaries\"/>
    </mc:Choice>
  </mc:AlternateContent>
  <bookViews>
    <workbookView xWindow="0" yWindow="0" windowWidth="28800" windowHeight="12210" activeTab="6"/>
  </bookViews>
  <sheets>
    <sheet name="itif-rank" sheetId="2" r:id="rId1"/>
    <sheet name="itif-score" sheetId="1" r:id="rId2"/>
    <sheet name="itif-selections" sheetId="5" r:id="rId3"/>
    <sheet name="dice-salary" sheetId="3" r:id="rId4"/>
    <sheet name="maine-bls-2008" sheetId="8" r:id="rId5"/>
    <sheet name="states" sheetId="6" r:id="rId6"/>
    <sheet name="meta" sheetId="4" r:id="rId7"/>
  </sheets>
  <externalReferences>
    <externalReference r:id="rId8"/>
  </externalReferences>
  <definedNames>
    <definedName name="INDICATOR">'[1]Data Entry'!$A$2:$AL$2</definedName>
    <definedName name="METADATA1">'[1]Data Entry'!$A$2:$AL$9</definedName>
    <definedName name="TOP_FIVE_MOVER_TABLES">#REF!</definedName>
    <definedName name="TOP_FIVE_TABLES">#REF!</definedName>
  </definedNames>
  <calcPr calcId="171027"/>
</workbook>
</file>

<file path=xl/calcChain.xml><?xml version="1.0" encoding="utf-8"?>
<calcChain xmlns="http://schemas.openxmlformats.org/spreadsheetml/2006/main">
  <c r="D529" i="3" l="1"/>
  <c r="D528" i="3"/>
  <c r="D527" i="3"/>
  <c r="D526" i="3"/>
  <c r="D525" i="3"/>
  <c r="D524" i="3"/>
  <c r="D523" i="3"/>
  <c r="D522" i="3"/>
  <c r="D521" i="3"/>
  <c r="D520" i="3"/>
  <c r="D519" i="3"/>
  <c r="D518" i="3"/>
  <c r="D517" i="3"/>
  <c r="D516" i="3"/>
  <c r="D515" i="3"/>
  <c r="D514" i="3"/>
  <c r="D513" i="3"/>
  <c r="D512" i="3"/>
  <c r="D511" i="3"/>
  <c r="D510" i="3"/>
  <c r="D509" i="3"/>
  <c r="D508" i="3"/>
  <c r="D507" i="3"/>
  <c r="D506" i="3"/>
  <c r="D505" i="3"/>
  <c r="D504" i="3"/>
  <c r="D503" i="3"/>
  <c r="D502" i="3"/>
  <c r="D501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8" i="3"/>
  <c r="D467" i="3"/>
  <c r="D466" i="3"/>
  <c r="D465" i="3"/>
  <c r="D464" i="3"/>
  <c r="D463" i="3"/>
  <c r="D462" i="3"/>
  <c r="D461" i="3"/>
  <c r="D460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401" i="3"/>
  <c r="D400" i="3"/>
  <c r="D399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70" i="3"/>
  <c r="D369" i="3"/>
  <c r="D368" i="3"/>
  <c r="D367" i="3"/>
  <c r="D366" i="3"/>
  <c r="D365" i="3"/>
  <c r="D364" i="3"/>
  <c r="D363" i="3"/>
  <c r="D362" i="3"/>
  <c r="D361" i="3"/>
  <c r="D360" i="3"/>
  <c r="D359" i="3"/>
  <c r="D358" i="3"/>
  <c r="D357" i="3"/>
  <c r="D356" i="3"/>
  <c r="D355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25" i="3"/>
  <c r="D324" i="3"/>
  <c r="D323" i="3"/>
  <c r="D322" i="3"/>
  <c r="D321" i="3"/>
  <c r="D320" i="3"/>
  <c r="D319" i="3"/>
  <c r="D318" i="3"/>
  <c r="D317" i="3"/>
  <c r="D316" i="3"/>
  <c r="D315" i="3"/>
  <c r="D314" i="3"/>
  <c r="D313" i="3"/>
  <c r="D312" i="3"/>
  <c r="D311" i="3"/>
  <c r="D310" i="3"/>
  <c r="D309" i="3"/>
  <c r="D308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4" i="3"/>
  <c r="D293" i="3"/>
  <c r="D292" i="3"/>
  <c r="D291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60" i="3"/>
  <c r="D259" i="3"/>
  <c r="D258" i="3"/>
  <c r="D257" i="3"/>
  <c r="D256" i="3"/>
  <c r="D255" i="3"/>
  <c r="D254" i="3"/>
  <c r="D253" i="3"/>
  <c r="D252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224" i="3"/>
  <c r="D223" i="3"/>
  <c r="D222" i="3"/>
  <c r="D221" i="3"/>
  <c r="D220" i="3"/>
  <c r="D219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</calcChain>
</file>

<file path=xl/sharedStrings.xml><?xml version="1.0" encoding="utf-8"?>
<sst xmlns="http://schemas.openxmlformats.org/spreadsheetml/2006/main" count="1125" uniqueCount="373">
  <si>
    <t>Average</t>
  </si>
  <si>
    <t>Wyoming</t>
  </si>
  <si>
    <t>Wisconsin</t>
  </si>
  <si>
    <t>West Virginia</t>
  </si>
  <si>
    <t>Washington</t>
  </si>
  <si>
    <t>Virginia</t>
  </si>
  <si>
    <t>Vermont</t>
  </si>
  <si>
    <t>Utah</t>
  </si>
  <si>
    <t>Texas</t>
  </si>
  <si>
    <t>Tennessee</t>
  </si>
  <si>
    <t>South Dakota</t>
  </si>
  <si>
    <t>South Carolina</t>
  </si>
  <si>
    <t>Rhode Island</t>
  </si>
  <si>
    <t>Pennsylvania</t>
  </si>
  <si>
    <t>Oregon</t>
  </si>
  <si>
    <t>Oklahoma</t>
  </si>
  <si>
    <t>Ohio</t>
  </si>
  <si>
    <t>North Dakota</t>
  </si>
  <si>
    <t>North Carolina</t>
  </si>
  <si>
    <t>New York</t>
  </si>
  <si>
    <t>New Mexico</t>
  </si>
  <si>
    <t>New Jersey</t>
  </si>
  <si>
    <t>New Hampshire</t>
  </si>
  <si>
    <t>Nevada</t>
  </si>
  <si>
    <t>Nebraska</t>
  </si>
  <si>
    <t>Montana</t>
  </si>
  <si>
    <t>Missouri</t>
  </si>
  <si>
    <t>Mississippi</t>
  </si>
  <si>
    <t>Minnesota</t>
  </si>
  <si>
    <t>Michigan</t>
  </si>
  <si>
    <t>Massachusetts</t>
  </si>
  <si>
    <t>Maryland</t>
  </si>
  <si>
    <t>Maine</t>
  </si>
  <si>
    <t>Louisiana</t>
  </si>
  <si>
    <t>Kentucky</t>
  </si>
  <si>
    <t>Kansas</t>
  </si>
  <si>
    <t>Iowa</t>
  </si>
  <si>
    <t>Indiana</t>
  </si>
  <si>
    <t>Illinois</t>
  </si>
  <si>
    <t>Idaho</t>
  </si>
  <si>
    <t>Hawaii</t>
  </si>
  <si>
    <t>Georgia</t>
  </si>
  <si>
    <t>Florida</t>
  </si>
  <si>
    <t>Delaware</t>
  </si>
  <si>
    <t>Connecticut</t>
  </si>
  <si>
    <t>Colorado</t>
  </si>
  <si>
    <t>California</t>
  </si>
  <si>
    <t>Arkansas</t>
  </si>
  <si>
    <t>Arizona</t>
  </si>
  <si>
    <t>Alaska</t>
  </si>
  <si>
    <t>Alabama</t>
  </si>
  <si>
    <t>Venture Capital</t>
  </si>
  <si>
    <t>Movement Toward a Clean Economy</t>
  </si>
  <si>
    <t>Non-Industry Investment in R&amp;D</t>
  </si>
  <si>
    <t>Industry Investment in R&amp;D</t>
  </si>
  <si>
    <t>Patents</t>
  </si>
  <si>
    <t>Scientists and Engineers</t>
  </si>
  <si>
    <t>High-Tech Jobs</t>
  </si>
  <si>
    <t>Health IT</t>
  </si>
  <si>
    <t>Broadband Telecommunications</t>
  </si>
  <si>
    <t>E-government</t>
  </si>
  <si>
    <t>Online Agriculture</t>
  </si>
  <si>
    <t>Inventor Patents</t>
  </si>
  <si>
    <t>Entrepreneurial Activity</t>
  </si>
  <si>
    <t>Initial Public Offerings</t>
  </si>
  <si>
    <t>Fast-Growing Firms</t>
  </si>
  <si>
    <t>Job Churning</t>
  </si>
  <si>
    <t>Foreign Direct Investment</t>
  </si>
  <si>
    <t>Export Focus of Manufacturing and Services</t>
  </si>
  <si>
    <t>High-Wage Traded Services</t>
  </si>
  <si>
    <t>Manufacturing Value Added</t>
  </si>
  <si>
    <t>Migration of U.S. Knowledge Workers</t>
  </si>
  <si>
    <t>Immigration of Knowledge Workers</t>
  </si>
  <si>
    <t>Workforce Education</t>
  </si>
  <si>
    <t>Managerial, Professional, and Technical Jobs</t>
  </si>
  <si>
    <t>Information Technology Jobs</t>
  </si>
  <si>
    <t>Overall</t>
  </si>
  <si>
    <t>State</t>
  </si>
  <si>
    <t>stateyear</t>
  </si>
  <si>
    <t>WA</t>
  </si>
  <si>
    <t>OR</t>
  </si>
  <si>
    <t>CA</t>
  </si>
  <si>
    <t>NV</t>
  </si>
  <si>
    <t>AZ</t>
  </si>
  <si>
    <t>NM</t>
  </si>
  <si>
    <t>TX</t>
  </si>
  <si>
    <t>OK</t>
  </si>
  <si>
    <t>KS</t>
  </si>
  <si>
    <t>NE</t>
  </si>
  <si>
    <t>SD</t>
  </si>
  <si>
    <t>ND</t>
  </si>
  <si>
    <t>MT</t>
  </si>
  <si>
    <t>ID</t>
  </si>
  <si>
    <t>UT</t>
  </si>
  <si>
    <t>CO</t>
  </si>
  <si>
    <t>WY</t>
  </si>
  <si>
    <t>LA</t>
  </si>
  <si>
    <t>AR</t>
  </si>
  <si>
    <t>MS</t>
  </si>
  <si>
    <t>MO</t>
  </si>
  <si>
    <t>IA</t>
  </si>
  <si>
    <t>MN</t>
  </si>
  <si>
    <t>WI</t>
  </si>
  <si>
    <t>MI</t>
  </si>
  <si>
    <t>IL</t>
  </si>
  <si>
    <t>IN</t>
  </si>
  <si>
    <t>KY</t>
  </si>
  <si>
    <t>TN</t>
  </si>
  <si>
    <t>AL</t>
  </si>
  <si>
    <t>FL</t>
  </si>
  <si>
    <t>GA</t>
  </si>
  <si>
    <t>SC</t>
  </si>
  <si>
    <t>NC</t>
  </si>
  <si>
    <t>OH</t>
  </si>
  <si>
    <t>VA</t>
  </si>
  <si>
    <t>WV</t>
  </si>
  <si>
    <t>MD</t>
  </si>
  <si>
    <t>DE</t>
  </si>
  <si>
    <t>NJ</t>
  </si>
  <si>
    <t>PN</t>
  </si>
  <si>
    <t>NY</t>
  </si>
  <si>
    <t>CT</t>
  </si>
  <si>
    <t>RI</t>
  </si>
  <si>
    <t>MA</t>
  </si>
  <si>
    <t>VT</t>
  </si>
  <si>
    <t>NH</t>
  </si>
  <si>
    <t>ME</t>
  </si>
  <si>
    <t xml:space="preserve"> n/a</t>
  </si>
  <si>
    <t>dice salaries</t>
  </si>
  <si>
    <t>http://media.dice.com/report/u-s-tech-salaries-map/</t>
  </si>
  <si>
    <t>ITIF data</t>
  </si>
  <si>
    <t>http://itif.org/publications/2014/06/11/2014-state-new-economy-index</t>
  </si>
  <si>
    <t>year</t>
  </si>
  <si>
    <t>salary</t>
  </si>
  <si>
    <t>US State:</t>
  </si>
  <si>
    <t>Abbreviation:</t>
  </si>
  <si>
    <t>AK</t>
  </si>
  <si>
    <t>HI</t>
  </si>
  <si>
    <t>PA</t>
  </si>
  <si>
    <t>abbreviation map</t>
  </si>
  <si>
    <t>http://www.50states.com/abbreviations.htm</t>
  </si>
  <si>
    <t>state</t>
  </si>
  <si>
    <t>AREA</t>
  </si>
  <si>
    <t>ST</t>
  </si>
  <si>
    <t>STATE</t>
  </si>
  <si>
    <t>OCC_CODE</t>
  </si>
  <si>
    <t>OCC_TITLE</t>
  </si>
  <si>
    <t>GROUP</t>
  </si>
  <si>
    <t>TOT_EMP</t>
  </si>
  <si>
    <t>EMP_PRSE</t>
  </si>
  <si>
    <t>H_MEAN</t>
  </si>
  <si>
    <t>A_MEAN</t>
  </si>
  <si>
    <t>MEAN_PRSE</t>
  </si>
  <si>
    <t>H_PCT10</t>
  </si>
  <si>
    <t>H_PCT25</t>
  </si>
  <si>
    <t>H_MEDIAN</t>
  </si>
  <si>
    <t>H_PCT75</t>
  </si>
  <si>
    <t>H_PCT90</t>
  </si>
  <si>
    <t>A_PCT10</t>
  </si>
  <si>
    <t>A_PCT25</t>
  </si>
  <si>
    <t>A_MEDIAN</t>
  </si>
  <si>
    <t>A_PCT75</t>
  </si>
  <si>
    <t>A_PCT90</t>
  </si>
  <si>
    <t>ANNUAL</t>
  </si>
  <si>
    <t>HOURLY</t>
  </si>
  <si>
    <t>23</t>
  </si>
  <si>
    <t>15-0000</t>
  </si>
  <si>
    <t>Computer and mathematical science occupations</t>
  </si>
  <si>
    <t>major</t>
  </si>
  <si>
    <t>8390</t>
  </si>
  <si>
    <t>3.0</t>
  </si>
  <si>
    <t>28.43</t>
  </si>
  <si>
    <t>1.6</t>
  </si>
  <si>
    <t>16.77</t>
  </si>
  <si>
    <t>21.00</t>
  </si>
  <si>
    <t>27.37</t>
  </si>
  <si>
    <t>35.53</t>
  </si>
  <si>
    <t>42.35</t>
  </si>
  <si>
    <t>34870</t>
  </si>
  <si>
    <t>43670</t>
  </si>
  <si>
    <t>56940</t>
  </si>
  <si>
    <t>73900</t>
  </si>
  <si>
    <t>88090</t>
  </si>
  <si>
    <t>15-1021</t>
  </si>
  <si>
    <t>Computer programmers</t>
  </si>
  <si>
    <t>590</t>
  </si>
  <si>
    <t>12.4</t>
  </si>
  <si>
    <t>27.91</t>
  </si>
  <si>
    <t>3.9</t>
  </si>
  <si>
    <t>16.63</t>
  </si>
  <si>
    <t>19.06</t>
  </si>
  <si>
    <t>26.02</t>
  </si>
  <si>
    <t>34.90</t>
  </si>
  <si>
    <t>45.88</t>
  </si>
  <si>
    <t>34590</t>
  </si>
  <si>
    <t>39640</t>
  </si>
  <si>
    <t>54120</t>
  </si>
  <si>
    <t>72580</t>
  </si>
  <si>
    <t>95440</t>
  </si>
  <si>
    <t>15-1031</t>
  </si>
  <si>
    <t>Computer software engineers, applications</t>
  </si>
  <si>
    <t>1050</t>
  </si>
  <si>
    <t>8.0</t>
  </si>
  <si>
    <t>30.60</t>
  </si>
  <si>
    <t>19.77</t>
  </si>
  <si>
    <t>23.68</t>
  </si>
  <si>
    <t>29.92</t>
  </si>
  <si>
    <t>37.14</t>
  </si>
  <si>
    <t>43.35</t>
  </si>
  <si>
    <t>41110</t>
  </si>
  <si>
    <t>49250</t>
  </si>
  <si>
    <t>62230</t>
  </si>
  <si>
    <t>77240</t>
  </si>
  <si>
    <t>90160</t>
  </si>
  <si>
    <t>15-1032</t>
  </si>
  <si>
    <t>Computer software engineers, systems software</t>
  </si>
  <si>
    <t>330</t>
  </si>
  <si>
    <t>13.2</t>
  </si>
  <si>
    <t>36.63</t>
  </si>
  <si>
    <t>1.9</t>
  </si>
  <si>
    <t>26.84</t>
  </si>
  <si>
    <t>31.13</t>
  </si>
  <si>
    <t>36.28</t>
  </si>
  <si>
    <t>41.85</t>
  </si>
  <si>
    <t>49.21</t>
  </si>
  <si>
    <t>55840</t>
  </si>
  <si>
    <t>64740</t>
  </si>
  <si>
    <t>75470</t>
  </si>
  <si>
    <t>87050</t>
  </si>
  <si>
    <t>102360</t>
  </si>
  <si>
    <t>15-1041</t>
  </si>
  <si>
    <t>Computer support specialists</t>
  </si>
  <si>
    <t>1880</t>
  </si>
  <si>
    <t>6.3</t>
  </si>
  <si>
    <t>19.59</t>
  </si>
  <si>
    <t>1.4</t>
  </si>
  <si>
    <t>12.97</t>
  </si>
  <si>
    <t>15.94</t>
  </si>
  <si>
    <t>19.29</t>
  </si>
  <si>
    <t>23.30</t>
  </si>
  <si>
    <t>26.56</t>
  </si>
  <si>
    <t>26990</t>
  </si>
  <si>
    <t>33150</t>
  </si>
  <si>
    <t>40110</t>
  </si>
  <si>
    <t>48470</t>
  </si>
  <si>
    <t>55250</t>
  </si>
  <si>
    <t>15-1051</t>
  </si>
  <si>
    <t>Computer systems analysts</t>
  </si>
  <si>
    <t>1600</t>
  </si>
  <si>
    <t>6.1</t>
  </si>
  <si>
    <t>33.68</t>
  </si>
  <si>
    <t>2.3</t>
  </si>
  <si>
    <t>22.14</t>
  </si>
  <si>
    <t>26.99</t>
  </si>
  <si>
    <t>33.53</t>
  </si>
  <si>
    <t>39.65</t>
  </si>
  <si>
    <t>47.54</t>
  </si>
  <si>
    <t>46060</t>
  </si>
  <si>
    <t>56130</t>
  </si>
  <si>
    <t>69740</t>
  </si>
  <si>
    <t>82470</t>
  </si>
  <si>
    <t>98880</t>
  </si>
  <si>
    <t>15-1061</t>
  </si>
  <si>
    <t>Database administrators</t>
  </si>
  <si>
    <t>270</t>
  </si>
  <si>
    <t>5.1</t>
  </si>
  <si>
    <t>30.50</t>
  </si>
  <si>
    <t>2.5</t>
  </si>
  <si>
    <t>18.66</t>
  </si>
  <si>
    <t>22.77</t>
  </si>
  <si>
    <t>29.17</t>
  </si>
  <si>
    <t>37.88</t>
  </si>
  <si>
    <t>46.82</t>
  </si>
  <si>
    <t>38820</t>
  </si>
  <si>
    <t>47370</t>
  </si>
  <si>
    <t>60670</t>
  </si>
  <si>
    <t>78790</t>
  </si>
  <si>
    <t>97380</t>
  </si>
  <si>
    <t>15-1071</t>
  </si>
  <si>
    <t>Network and computer systems administrators</t>
  </si>
  <si>
    <t>1210</t>
  </si>
  <si>
    <t>4.3</t>
  </si>
  <si>
    <t>28.14</t>
  </si>
  <si>
    <t>1.1</t>
  </si>
  <si>
    <t>18.86</t>
  </si>
  <si>
    <t>22.56</t>
  </si>
  <si>
    <t>27.92</t>
  </si>
  <si>
    <t>33.54</t>
  </si>
  <si>
    <t>38.70</t>
  </si>
  <si>
    <t>39230</t>
  </si>
  <si>
    <t>46920</t>
  </si>
  <si>
    <t>58070</t>
  </si>
  <si>
    <t>69760</t>
  </si>
  <si>
    <t>80490</t>
  </si>
  <si>
    <t>15-1081</t>
  </si>
  <si>
    <t>Network systems and data communications analysts</t>
  </si>
  <si>
    <t>650</t>
  </si>
  <si>
    <t>15.1</t>
  </si>
  <si>
    <t>31.83</t>
  </si>
  <si>
    <t>2.9</t>
  </si>
  <si>
    <t>19.09</t>
  </si>
  <si>
    <t>24.90</t>
  </si>
  <si>
    <t>32.34</t>
  </si>
  <si>
    <t>38.73</t>
  </si>
  <si>
    <t>45.80</t>
  </si>
  <si>
    <t>39700</t>
  </si>
  <si>
    <t>51800</t>
  </si>
  <si>
    <t>67260</t>
  </si>
  <si>
    <t>80560</t>
  </si>
  <si>
    <t>95270</t>
  </si>
  <si>
    <t>15-1099</t>
  </si>
  <si>
    <t>Computer specialists, all other</t>
  </si>
  <si>
    <t>380</t>
  </si>
  <si>
    <t>6.4</t>
  </si>
  <si>
    <t>30.94</t>
  </si>
  <si>
    <t>24.17</t>
  </si>
  <si>
    <t>30.70</t>
  </si>
  <si>
    <t>37.99</t>
  </si>
  <si>
    <t>45.05</t>
  </si>
  <si>
    <t>41130</t>
  </si>
  <si>
    <t>50280</t>
  </si>
  <si>
    <t>63850</t>
  </si>
  <si>
    <t>79010</t>
  </si>
  <si>
    <t>93700</t>
  </si>
  <si>
    <t>15-2011</t>
  </si>
  <si>
    <t>Actuaries</t>
  </si>
  <si>
    <t>230</t>
  </si>
  <si>
    <t>0.6</t>
  </si>
  <si>
    <t>28.60</t>
  </si>
  <si>
    <t>5.4</t>
  </si>
  <si>
    <t>19.47</t>
  </si>
  <si>
    <t>26.26</t>
  </si>
  <si>
    <t>30.93</t>
  </si>
  <si>
    <t>40.40</t>
  </si>
  <si>
    <t>40490</t>
  </si>
  <si>
    <t>46050</t>
  </si>
  <si>
    <t>54620</t>
  </si>
  <si>
    <t>64340</t>
  </si>
  <si>
    <t>84040</t>
  </si>
  <si>
    <t>15-2031</t>
  </si>
  <si>
    <t>Operations research analysts</t>
  </si>
  <si>
    <t>160</t>
  </si>
  <si>
    <t>14.4</t>
  </si>
  <si>
    <t>29.89</t>
  </si>
  <si>
    <t>2.1</t>
  </si>
  <si>
    <t>20.36</t>
  </si>
  <si>
    <t>23.53</t>
  </si>
  <si>
    <t>29.03</t>
  </si>
  <si>
    <t>36.57</t>
  </si>
  <si>
    <t>42.17</t>
  </si>
  <si>
    <t>42350</t>
  </si>
  <si>
    <t>48930</t>
  </si>
  <si>
    <t>60390</t>
  </si>
  <si>
    <t>76060</t>
  </si>
  <si>
    <t>87710</t>
  </si>
  <si>
    <t>15-2041</t>
  </si>
  <si>
    <t>Statisticians</t>
  </si>
  <si>
    <t>50</t>
  </si>
  <si>
    <t>9.8</t>
  </si>
  <si>
    <t>24.73</t>
  </si>
  <si>
    <t>17.34</t>
  </si>
  <si>
    <t>19.94</t>
  </si>
  <si>
    <t>23.34</t>
  </si>
  <si>
    <t>29.74</t>
  </si>
  <si>
    <t>35.18</t>
  </si>
  <si>
    <t>36060</t>
  </si>
  <si>
    <t>41470</t>
  </si>
  <si>
    <t>48540</t>
  </si>
  <si>
    <t>61860</t>
  </si>
  <si>
    <t>73180</t>
  </si>
  <si>
    <t>AVG, thru 15-1099</t>
  </si>
  <si>
    <t>http://www.bls.gov/oes/tables.htm</t>
  </si>
  <si>
    <t>maine-bls-2008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</si>
</sst>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"/>
    <numFmt numFmtId="166" formatCode="0.000%"/>
    <numFmt numFmtId="167" formatCode="_(&quot;$&quot;* #,##0_);_(&quot;$&quot;* \(#,##0\);_(&quot;$&quot;* &quot;-&quot;??_);_(@_)"/>
    <numFmt numFmtId="168" formatCode="0.0"/>
  </numFmts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2"/>
      <name val="Arial Narrow"/>
      <family val="2"/>
    </font>
    <font>
      <sz val="9"/>
      <color theme="1"/>
      <name val="Arial"/>
      <family val="2"/>
    </font>
    <font>
      <i/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u/>
      <sz val="12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10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4" fillId="0" borderId="0"/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43" fontId="3" fillId="0" borderId="0" applyFont="0" applyFill="0" applyBorder="0" applyAlignment="0" applyProtection="0"/>
    <xf numFmtId="3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horizontal="left" wrapText="1"/>
    </xf>
    <xf numFmtId="0" fontId="6" fillId="0" borderId="0">
      <alignment horizontal="left" vertical="top"/>
    </xf>
    <xf numFmtId="0" fontId="7" fillId="0" borderId="0">
      <alignment vertical="top"/>
    </xf>
    <xf numFmtId="0" fontId="8" fillId="0" borderId="0">
      <alignment vertical="top"/>
    </xf>
    <xf numFmtId="0" fontId="9" fillId="0" borderId="0" applyNumberFormat="0" applyFill="0" applyBorder="0" applyAlignment="0" applyProtection="0"/>
  </cellStyleXfs>
  <cellXfs count="12">
    <xf numFmtId="0" fontId="0" fillId="0" borderId="0" xfId="0"/>
    <xf numFmtId="10" fontId="0" fillId="0" borderId="0" xfId="2" applyNumberFormat="1" applyFont="1"/>
    <xf numFmtId="2" fontId="0" fillId="0" borderId="0" xfId="0" applyNumberFormat="1"/>
    <xf numFmtId="164" fontId="0" fillId="0" borderId="0" xfId="2" applyNumberFormat="1" applyFont="1"/>
    <xf numFmtId="165" fontId="0" fillId="0" borderId="0" xfId="0" applyNumberFormat="1"/>
    <xf numFmtId="166" fontId="0" fillId="0" borderId="0" xfId="2" applyNumberFormat="1" applyFont="1"/>
    <xf numFmtId="167" fontId="0" fillId="0" borderId="0" xfId="1" applyNumberFormat="1" applyFont="1"/>
    <xf numFmtId="168" fontId="0" fillId="0" borderId="0" xfId="0" applyNumberFormat="1"/>
    <xf numFmtId="2" fontId="0" fillId="0" borderId="0" xfId="2" applyNumberFormat="1" applyFont="1"/>
    <xf numFmtId="0" fontId="0" fillId="0" borderId="0" xfId="0" applyAlignment="1">
      <alignment horizontal="center" vertical="center"/>
    </xf>
    <xf numFmtId="6" fontId="0" fillId="0" borderId="0" xfId="0" applyNumberFormat="1"/>
    <xf numFmtId="0" fontId="9" fillId="0" borderId="0" xfId="109"/>
  </cellXfs>
  <cellStyles count="110">
    <cellStyle name="_29b" xfId="3"/>
    <cellStyle name="_29c" xfId="4"/>
    <cellStyle name="_29e" xfId="5"/>
    <cellStyle name="_29g" xfId="6"/>
    <cellStyle name="_29i" xfId="7"/>
    <cellStyle name="_ACAD-b22" xfId="8"/>
    <cellStyle name="_ACAD-b29" xfId="9"/>
    <cellStyle name="_ACAD-b74" xfId="10"/>
    <cellStyle name="_Appendix-29 tables -- May 19" xfId="11"/>
    <cellStyle name="_B16" xfId="12"/>
    <cellStyle name="_B27" xfId="13"/>
    <cellStyle name="_Data Generation for 1998, August 17" xfId="14"/>
    <cellStyle name="_FF-tabc14" xfId="15"/>
    <cellStyle name="_FF-tabc83" xfId="16"/>
    <cellStyle name="_FF-tabc85" xfId="17"/>
    <cellStyle name="_hist7" xfId="18"/>
    <cellStyle name="_Information Generator for 1999 Indicators, May 25" xfId="19"/>
    <cellStyle name="_NAT-OBJ Revised" xfId="20"/>
    <cellStyle name="_New State Table for 1998, March 12, 2001" xfId="21"/>
    <cellStyle name="_SEI Tables, May 17" xfId="22"/>
    <cellStyle name="_SEI Tables, May 19" xfId="23"/>
    <cellStyle name="_SEI Tables, May 19 b" xfId="24"/>
    <cellStyle name="_SEI Tables, May 3" xfId="25"/>
    <cellStyle name="_Sept. 19, Tables and Database for NP98.xls Chart 12" xfId="26"/>
    <cellStyle name="_Sept. 19, Tables and Database for NP98.xls Chart 4" xfId="27"/>
    <cellStyle name="_Sept. 19, Tables and Database for NP98.xls Chart 6" xfId="28"/>
    <cellStyle name="_Sept. 19, Tables and Database for NP98.xls Chart 8" xfId="29"/>
    <cellStyle name="_tabc102" xfId="30"/>
    <cellStyle name="_tabc14" xfId="31"/>
    <cellStyle name="_table1" xfId="32"/>
    <cellStyle name="_table2" xfId="33"/>
    <cellStyle name="_table3" xfId="34"/>
    <cellStyle name="_table5" xfId="35"/>
    <cellStyle name="_Text Table 3" xfId="36"/>
    <cellStyle name="_workbook for indicators text tables" xfId="37"/>
    <cellStyle name="Comma 2" xfId="38"/>
    <cellStyle name="Comma0" xfId="39"/>
    <cellStyle name="Currency" xfId="1" builtinId="4"/>
    <cellStyle name="Currency0" xfId="40"/>
    <cellStyle name="Hyperlink" xfId="109" builtinId="8"/>
    <cellStyle name="Normal" xfId="0" builtinId="0"/>
    <cellStyle name="Normal 10" xfId="41"/>
    <cellStyle name="Normal 11" xfId="42"/>
    <cellStyle name="Normal 12" xfId="43"/>
    <cellStyle name="Normal 13" xfId="44"/>
    <cellStyle name="Normal 14" xfId="45"/>
    <cellStyle name="Normal 15" xfId="46"/>
    <cellStyle name="Normal 16" xfId="47"/>
    <cellStyle name="Normal 17" xfId="48"/>
    <cellStyle name="Normal 18" xfId="49"/>
    <cellStyle name="Normal 19" xfId="50"/>
    <cellStyle name="Normal 2" xfId="51"/>
    <cellStyle name="Normal 2 2" xfId="52"/>
    <cellStyle name="Normal 2 3" xfId="53"/>
    <cellStyle name="Normal 20" xfId="54"/>
    <cellStyle name="Normal 21" xfId="55"/>
    <cellStyle name="Normal 22" xfId="56"/>
    <cellStyle name="Normal 23" xfId="57"/>
    <cellStyle name="Normal 24" xfId="58"/>
    <cellStyle name="Normal 25" xfId="59"/>
    <cellStyle name="Normal 26" xfId="60"/>
    <cellStyle name="Normal 27" xfId="61"/>
    <cellStyle name="Normal 28" xfId="62"/>
    <cellStyle name="Normal 29" xfId="63"/>
    <cellStyle name="Normal 3" xfId="64"/>
    <cellStyle name="Normal 30" xfId="65"/>
    <cellStyle name="Normal 32" xfId="66"/>
    <cellStyle name="Normal 33" xfId="67"/>
    <cellStyle name="Normal 34" xfId="68"/>
    <cellStyle name="Normal 35" xfId="69"/>
    <cellStyle name="Normal 36" xfId="70"/>
    <cellStyle name="Normal 38" xfId="71"/>
    <cellStyle name="Normal 39" xfId="72"/>
    <cellStyle name="Normal 4" xfId="73"/>
    <cellStyle name="Normal 40" xfId="74"/>
    <cellStyle name="Normal 41" xfId="75"/>
    <cellStyle name="Normal 42" xfId="76"/>
    <cellStyle name="Normal 43" xfId="77"/>
    <cellStyle name="Normal 44" xfId="78"/>
    <cellStyle name="Normal 45" xfId="79"/>
    <cellStyle name="Normal 47" xfId="80"/>
    <cellStyle name="Normal 48" xfId="81"/>
    <cellStyle name="Normal 49" xfId="82"/>
    <cellStyle name="Normal 5" xfId="83"/>
    <cellStyle name="Normal 50" xfId="84"/>
    <cellStyle name="Normal 51" xfId="85"/>
    <cellStyle name="Normal 52" xfId="86"/>
    <cellStyle name="Normal 54" xfId="87"/>
    <cellStyle name="Normal 55" xfId="88"/>
    <cellStyle name="Normal 56" xfId="89"/>
    <cellStyle name="Normal 57" xfId="90"/>
    <cellStyle name="Normal 58" xfId="91"/>
    <cellStyle name="Normal 6" xfId="92"/>
    <cellStyle name="Normal 60" xfId="93"/>
    <cellStyle name="Normal 61" xfId="94"/>
    <cellStyle name="Normal 62" xfId="95"/>
    <cellStyle name="Normal 63" xfId="96"/>
    <cellStyle name="Normal 64" xfId="97"/>
    <cellStyle name="Normal 65" xfId="98"/>
    <cellStyle name="Normal 66" xfId="99"/>
    <cellStyle name="Normal 7" xfId="100"/>
    <cellStyle name="Normal 8" xfId="101"/>
    <cellStyle name="Normal 9" xfId="102"/>
    <cellStyle name="Percent" xfId="2" builtinId="5"/>
    <cellStyle name="Percent 2" xfId="103"/>
    <cellStyle name="Percent 3" xfId="104"/>
    <cellStyle name="Style 1" xfId="105"/>
    <cellStyle name="Tagline" xfId="106"/>
    <cellStyle name="Title 1" xfId="107"/>
    <cellStyle name="Title 2" xfId="10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Administrative\MISC\OLD\Luke%20Files\SNEI%202014\SNEI_MASTER_2014_with_tabl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ew Table"/>
      <sheetName val="Data Entry"/>
      <sheetName val="Tables"/>
      <sheetName val="53x51 Tables"/>
      <sheetName val="Additional Data"/>
      <sheetName val="Sheet1"/>
    </sheetNames>
    <sheetDataSet>
      <sheetData sheetId="0"/>
      <sheetData sheetId="1">
        <row r="2">
          <cell r="A2" t="str">
            <v>Indicator</v>
          </cell>
          <cell r="C2" t="str">
            <v>Overall</v>
          </cell>
          <cell r="E2" t="str">
            <v>Knowledge Jobs</v>
          </cell>
          <cell r="F2" t="str">
            <v>Information Technology Jobs</v>
          </cell>
          <cell r="G2" t="str">
            <v>Managerial, Professional, and Technical Jobs</v>
          </cell>
          <cell r="H2" t="str">
            <v>Workforce Education</v>
          </cell>
          <cell r="I2" t="str">
            <v>Immigration of Knowledge Workers</v>
          </cell>
          <cell r="J2" t="str">
            <v>Migration of U.S. Knowledge Workers</v>
          </cell>
          <cell r="K2" t="str">
            <v>Manufacturing Value Added</v>
          </cell>
          <cell r="L2" t="str">
            <v>High-Wage Traded Services</v>
          </cell>
          <cell r="N2" t="str">
            <v>Globalization</v>
          </cell>
          <cell r="O2" t="str">
            <v>Export Focus of Manufacturing and Services</v>
          </cell>
          <cell r="P2" t="str">
            <v>Foreign Direct Investment</v>
          </cell>
          <cell r="R2" t="str">
            <v>Economic Dynamism</v>
          </cell>
          <cell r="S2" t="str">
            <v>Job Churning</v>
          </cell>
          <cell r="T2" t="str">
            <v>Fast-Growing Firms</v>
          </cell>
          <cell r="U2" t="str">
            <v>Initial Public Offerings</v>
          </cell>
          <cell r="V2" t="str">
            <v>Entrepreneurial Activity</v>
          </cell>
          <cell r="W2" t="str">
            <v>Inventor Patents</v>
          </cell>
          <cell r="Y2" t="str">
            <v>The Digital Economy</v>
          </cell>
          <cell r="Z2" t="str">
            <v>E-government</v>
          </cell>
          <cell r="AA2" t="str">
            <v>Online Agriculture</v>
          </cell>
          <cell r="AB2" t="str">
            <v>Broadband Telecommunications</v>
          </cell>
          <cell r="AC2" t="str">
            <v>Health IT</v>
          </cell>
          <cell r="AE2" t="str">
            <v>Innovation Capacity</v>
          </cell>
          <cell r="AF2" t="str">
            <v>High-Tech Jobs</v>
          </cell>
          <cell r="AG2" t="str">
            <v>Scientists and Engineers</v>
          </cell>
          <cell r="AH2" t="str">
            <v>Patents</v>
          </cell>
          <cell r="AI2" t="str">
            <v>Industry Investment in R&amp;D</v>
          </cell>
          <cell r="AJ2" t="str">
            <v>Non-Industry Investment in R&amp;D</v>
          </cell>
          <cell r="AK2" t="str">
            <v>Movement Toward a Clean Economy</v>
          </cell>
          <cell r="AL2" t="str">
            <v>Venture Capital</v>
          </cell>
        </row>
        <row r="3">
          <cell r="A3" t="str">
            <v>Data Description</v>
          </cell>
          <cell r="F3" t="str">
            <v>Percentage of jobs in IT occupations</v>
          </cell>
          <cell r="G3" t="str">
            <v>Percentage of jobs held by managers, professionals, and technicians</v>
          </cell>
          <cell r="H3" t="str">
            <v>Composite score</v>
          </cell>
          <cell r="I3" t="str">
            <v>Average years of education</v>
          </cell>
          <cell r="J3" t="str">
            <v>Average years of education</v>
          </cell>
          <cell r="K3" t="str">
            <v>Value added as a percentage of U.S. average</v>
          </cell>
          <cell r="L3" t="str">
            <v>Percentage of service jobs in high-wage traded sectors</v>
          </cell>
          <cell r="O3" t="str">
            <v>Adjusted export sales per manufacturing and service worker</v>
          </cell>
          <cell r="P3" t="str">
            <v>Percentage of workforce employed by foreign companies</v>
          </cell>
          <cell r="S3" t="str">
            <v>Business establishment startups and failures as a percentage of total establishments</v>
          </cell>
          <cell r="T3" t="str">
            <v>Percentage of firms that are fast-growing</v>
          </cell>
          <cell r="U3" t="str">
            <v>IPOs score</v>
          </cell>
          <cell r="V3" t="str">
            <v>Number of entrepreneurs as a percentage of population</v>
          </cell>
          <cell r="W3" t="str">
            <v>Patents per 1,000 people of workforce age</v>
          </cell>
          <cell r="Z3" t="str">
            <v>Composite score</v>
          </cell>
          <cell r="AA3" t="str">
            <v>Composite score</v>
          </cell>
          <cell r="AB3" t="str">
            <v>Composite score</v>
          </cell>
          <cell r="AC3" t="str">
            <v>Percent e-prescribing</v>
          </cell>
          <cell r="AF3" t="str">
            <v>High-tech jobs as a percentage of total jobs</v>
          </cell>
          <cell r="AG3" t="str">
            <v>Scientists and engineers as a percentage of the workforce</v>
          </cell>
          <cell r="AH3" t="str">
            <v>Adjusted patents per 1,000 workers</v>
          </cell>
          <cell r="AI3" t="str">
            <v>Adjusted Industry R&amp;D as a percentage of worker earnings</v>
          </cell>
          <cell r="AJ3" t="str">
            <v>Non-industry R&amp;D as a percentage of GSP</v>
          </cell>
          <cell r="AK3" t="str">
            <v>Composite score</v>
          </cell>
          <cell r="AL3" t="str">
            <v>Venture capital as a percentage of worker earnings</v>
          </cell>
        </row>
        <row r="4">
          <cell r="A4" t="str">
            <v>SNEI Weight</v>
          </cell>
          <cell r="C4">
            <v>18.5</v>
          </cell>
          <cell r="E4">
            <v>5</v>
          </cell>
          <cell r="F4">
            <v>0.75</v>
          </cell>
          <cell r="G4">
            <v>0.75</v>
          </cell>
          <cell r="H4">
            <v>1</v>
          </cell>
          <cell r="I4">
            <v>0.5</v>
          </cell>
          <cell r="J4">
            <v>0.5</v>
          </cell>
          <cell r="K4">
            <v>0.75</v>
          </cell>
          <cell r="L4">
            <v>0.75</v>
          </cell>
          <cell r="N4">
            <v>2</v>
          </cell>
          <cell r="O4">
            <v>1</v>
          </cell>
          <cell r="P4">
            <v>1</v>
          </cell>
          <cell r="R4">
            <v>3.5</v>
          </cell>
          <cell r="S4">
            <v>1</v>
          </cell>
          <cell r="T4">
            <v>0.75</v>
          </cell>
          <cell r="U4">
            <v>0.5</v>
          </cell>
          <cell r="V4">
            <v>0.75</v>
          </cell>
          <cell r="W4">
            <v>0.5</v>
          </cell>
          <cell r="Y4">
            <v>2.5</v>
          </cell>
          <cell r="Z4">
            <v>0.5</v>
          </cell>
          <cell r="AA4">
            <v>0.5</v>
          </cell>
          <cell r="AB4">
            <v>1</v>
          </cell>
          <cell r="AC4">
            <v>0.5</v>
          </cell>
          <cell r="AE4">
            <v>5.5</v>
          </cell>
          <cell r="AF4">
            <v>1</v>
          </cell>
          <cell r="AG4">
            <v>1</v>
          </cell>
          <cell r="AH4">
            <v>0.75</v>
          </cell>
          <cell r="AI4">
            <v>1</v>
          </cell>
          <cell r="AJ4">
            <v>0.5</v>
          </cell>
          <cell r="AK4">
            <v>0.5</v>
          </cell>
          <cell r="AL4">
            <v>0.75</v>
          </cell>
        </row>
        <row r="6">
          <cell r="A6" t="str">
            <v>Score Format</v>
          </cell>
          <cell r="C6" t="str">
            <v>0.0</v>
          </cell>
          <cell r="E6" t="str">
            <v>0.0</v>
          </cell>
          <cell r="F6" t="str">
            <v>0.0%</v>
          </cell>
          <cell r="G6" t="str">
            <v>0.0%</v>
          </cell>
          <cell r="H6" t="str">
            <v>0.00</v>
          </cell>
          <cell r="I6" t="str">
            <v>0.0</v>
          </cell>
          <cell r="J6" t="str">
            <v>0.0</v>
          </cell>
          <cell r="K6" t="str">
            <v>0.0%</v>
          </cell>
          <cell r="L6" t="str">
            <v>0.0%</v>
          </cell>
          <cell r="N6" t="str">
            <v>0.0</v>
          </cell>
          <cell r="O6" t="str">
            <v>$0</v>
          </cell>
          <cell r="P6" t="str">
            <v>0.0%</v>
          </cell>
          <cell r="R6" t="str">
            <v>0.0</v>
          </cell>
          <cell r="S6" t="str">
            <v>0.0%</v>
          </cell>
          <cell r="T6" t="str">
            <v>0.000%</v>
          </cell>
          <cell r="U6" t="str">
            <v>0.00</v>
          </cell>
          <cell r="V6" t="str">
            <v>0.00%</v>
          </cell>
          <cell r="W6" t="str">
            <v>0.000</v>
          </cell>
          <cell r="Y6" t="str">
            <v>0.0</v>
          </cell>
          <cell r="Z6" t="str">
            <v>0.0</v>
          </cell>
          <cell r="AA6" t="str">
            <v>0.00</v>
          </cell>
          <cell r="AB6" t="str">
            <v>0.00</v>
          </cell>
          <cell r="AC6" t="str">
            <v>0%</v>
          </cell>
          <cell r="AE6" t="str">
            <v>0.0</v>
          </cell>
          <cell r="AF6" t="str">
            <v>0.0%</v>
          </cell>
          <cell r="AG6" t="str">
            <v>0.0%</v>
          </cell>
          <cell r="AH6" t="str">
            <v>0.00</v>
          </cell>
          <cell r="AI6" t="str">
            <v>0.0%</v>
          </cell>
          <cell r="AJ6" t="str">
            <v>0.0%</v>
          </cell>
          <cell r="AK6" t="str">
            <v>0.00</v>
          </cell>
          <cell r="AL6" t="str">
            <v>0.00%</v>
          </cell>
        </row>
        <row r="7">
          <cell r="A7" t="str">
            <v>Translation</v>
          </cell>
          <cell r="C7">
            <v>0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N7">
            <v>10</v>
          </cell>
          <cell r="O7">
            <v>0</v>
          </cell>
          <cell r="P7">
            <v>0</v>
          </cell>
          <cell r="R7">
            <v>10</v>
          </cell>
          <cell r="S7">
            <v>0</v>
          </cell>
          <cell r="T7">
            <v>0</v>
          </cell>
          <cell r="U7">
            <v>5</v>
          </cell>
          <cell r="V7">
            <v>0</v>
          </cell>
          <cell r="W7">
            <v>0</v>
          </cell>
          <cell r="Y7">
            <v>10</v>
          </cell>
          <cell r="Z7">
            <v>5</v>
          </cell>
          <cell r="AA7">
            <v>5</v>
          </cell>
          <cell r="AB7">
            <v>5</v>
          </cell>
          <cell r="AC7">
            <v>5</v>
          </cell>
          <cell r="AE7">
            <v>10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5</v>
          </cell>
          <cell r="AL7">
            <v>0</v>
          </cell>
        </row>
        <row r="8">
          <cell r="A8" t="str">
            <v>Truncate above +/- SD</v>
          </cell>
          <cell r="C8">
            <v>4</v>
          </cell>
          <cell r="E8">
            <v>4</v>
          </cell>
          <cell r="F8">
            <v>4</v>
          </cell>
          <cell r="G8">
            <v>4</v>
          </cell>
          <cell r="H8">
            <v>4</v>
          </cell>
          <cell r="I8">
            <v>4</v>
          </cell>
          <cell r="J8">
            <v>4</v>
          </cell>
          <cell r="K8">
            <v>4</v>
          </cell>
          <cell r="L8">
            <v>4</v>
          </cell>
          <cell r="N8">
            <v>4</v>
          </cell>
          <cell r="O8">
            <v>4</v>
          </cell>
          <cell r="P8">
            <v>4</v>
          </cell>
          <cell r="R8">
            <v>4</v>
          </cell>
          <cell r="S8">
            <v>4</v>
          </cell>
          <cell r="T8">
            <v>4</v>
          </cell>
          <cell r="U8">
            <v>4</v>
          </cell>
          <cell r="V8">
            <v>4</v>
          </cell>
          <cell r="W8">
            <v>4</v>
          </cell>
          <cell r="Y8">
            <v>4</v>
          </cell>
          <cell r="Z8">
            <v>4</v>
          </cell>
          <cell r="AA8">
            <v>4</v>
          </cell>
          <cell r="AB8">
            <v>4</v>
          </cell>
          <cell r="AC8">
            <v>4</v>
          </cell>
          <cell r="AE8">
            <v>4</v>
          </cell>
          <cell r="AF8">
            <v>4</v>
          </cell>
          <cell r="AG8">
            <v>4</v>
          </cell>
          <cell r="AH8">
            <v>4</v>
          </cell>
          <cell r="AI8">
            <v>4</v>
          </cell>
          <cell r="AJ8">
            <v>4</v>
          </cell>
          <cell r="AK8">
            <v>4</v>
          </cell>
          <cell r="AL8">
            <v>4</v>
          </cell>
        </row>
        <row r="9">
          <cell r="A9" t="str">
            <v>Notes</v>
          </cell>
          <cell r="C9" t="str">
            <v>"U.S. average" meaning differs depending on indicator</v>
          </cell>
          <cell r="E9" t="str">
            <v>U.S. average may deviate from 10.00 due if using truncated standardized scores</v>
          </cell>
          <cell r="K9" t="str">
            <v>New Mexico's score is manually truncated to 2 SDs above mean</v>
          </cell>
          <cell r="N9" t="str">
            <v>U.S. average may deviate from 10.00 due if using truncated standardized scores</v>
          </cell>
          <cell r="R9" t="str">
            <v>U.S. average may deviate from 10.00 due if using truncated standardized scores</v>
          </cell>
          <cell r="Y9" t="str">
            <v>U.S. average may deviate from 10.00 due if using truncated standardized scores</v>
          </cell>
          <cell r="AB9" t="str">
            <v>Methodology Change</v>
          </cell>
          <cell r="AC9" t="str">
            <v>Methodology Change</v>
          </cell>
          <cell r="AE9" t="str">
            <v>U.S. average may deviate from 10.00 due if using truncated standardized scores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://www.50states.com/abbreviations.htm" TargetMode="External"/><Relationship Id="rId2" Type="http://schemas.openxmlformats.org/officeDocument/2006/relationships/hyperlink" Target="http://itif.org/publications/2014/06/11/2014-state-new-economy-index" TargetMode="External"/><Relationship Id="rId1" Type="http://schemas.openxmlformats.org/officeDocument/2006/relationships/hyperlink" Target="http://media.dice.com/report/u-s-tech-salaries-map/" TargetMode="External"/><Relationship Id="rId4" Type="http://schemas.openxmlformats.org/officeDocument/2006/relationships/hyperlink" Target="http://www.bls.gov/oes/tables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52"/>
  <sheetViews>
    <sheetView workbookViewId="0">
      <selection activeCell="D11" sqref="D11"/>
    </sheetView>
  </sheetViews>
  <sheetFormatPr defaultRowHeight="15.75" x14ac:dyDescent="0.25"/>
  <sheetData>
    <row r="1" spans="1:27" x14ac:dyDescent="0.25">
      <c r="A1" t="s">
        <v>77</v>
      </c>
      <c r="B1" t="s">
        <v>76</v>
      </c>
      <c r="C1" t="s">
        <v>75</v>
      </c>
      <c r="D1" t="s">
        <v>74</v>
      </c>
      <c r="E1" t="s">
        <v>73</v>
      </c>
      <c r="F1" t="s">
        <v>72</v>
      </c>
      <c r="G1" t="s">
        <v>71</v>
      </c>
      <c r="H1" t="s">
        <v>70</v>
      </c>
      <c r="I1" t="s">
        <v>69</v>
      </c>
      <c r="J1" t="s">
        <v>68</v>
      </c>
      <c r="K1" t="s">
        <v>67</v>
      </c>
      <c r="L1" t="s">
        <v>66</v>
      </c>
      <c r="M1" t="s">
        <v>65</v>
      </c>
      <c r="N1" t="s">
        <v>64</v>
      </c>
      <c r="O1" t="s">
        <v>63</v>
      </c>
      <c r="P1" t="s">
        <v>62</v>
      </c>
      <c r="Q1" t="s">
        <v>61</v>
      </c>
      <c r="R1" t="s">
        <v>60</v>
      </c>
      <c r="S1" t="s">
        <v>59</v>
      </c>
      <c r="T1" t="s">
        <v>58</v>
      </c>
      <c r="U1" t="s">
        <v>57</v>
      </c>
      <c r="V1" t="s">
        <v>56</v>
      </c>
      <c r="W1" t="s">
        <v>55</v>
      </c>
      <c r="X1" t="s">
        <v>54</v>
      </c>
      <c r="Y1" t="s">
        <v>53</v>
      </c>
      <c r="Z1" t="s">
        <v>52</v>
      </c>
      <c r="AA1" t="s">
        <v>51</v>
      </c>
    </row>
    <row r="2" spans="1:27" x14ac:dyDescent="0.25">
      <c r="A2" t="s">
        <v>50</v>
      </c>
      <c r="B2">
        <v>41</v>
      </c>
      <c r="C2">
        <v>34</v>
      </c>
      <c r="D2">
        <v>40</v>
      </c>
      <c r="E2">
        <v>44</v>
      </c>
      <c r="F2">
        <v>3</v>
      </c>
      <c r="G2">
        <v>29</v>
      </c>
      <c r="H2">
        <v>34</v>
      </c>
      <c r="I2">
        <v>37</v>
      </c>
      <c r="J2">
        <v>30</v>
      </c>
      <c r="K2">
        <v>16</v>
      </c>
      <c r="L2">
        <v>47</v>
      </c>
      <c r="M2">
        <v>29</v>
      </c>
      <c r="N2">
        <v>36</v>
      </c>
      <c r="O2">
        <v>35</v>
      </c>
      <c r="P2">
        <v>46</v>
      </c>
      <c r="Q2">
        <v>41</v>
      </c>
      <c r="R2">
        <v>36</v>
      </c>
      <c r="S2">
        <v>47</v>
      </c>
      <c r="T2">
        <v>46</v>
      </c>
      <c r="U2">
        <v>25</v>
      </c>
      <c r="V2">
        <v>18</v>
      </c>
      <c r="W2">
        <v>48</v>
      </c>
      <c r="X2">
        <v>32</v>
      </c>
      <c r="Y2">
        <v>5</v>
      </c>
      <c r="Z2">
        <v>9</v>
      </c>
      <c r="AA2">
        <v>38</v>
      </c>
    </row>
    <row r="3" spans="1:27" x14ac:dyDescent="0.25">
      <c r="A3" t="s">
        <v>49</v>
      </c>
      <c r="B3">
        <v>32</v>
      </c>
      <c r="C3">
        <v>30</v>
      </c>
      <c r="D3">
        <v>14</v>
      </c>
      <c r="E3">
        <v>20</v>
      </c>
      <c r="F3">
        <v>2</v>
      </c>
      <c r="G3">
        <v>18</v>
      </c>
      <c r="H3">
        <v>49</v>
      </c>
      <c r="I3">
        <v>43</v>
      </c>
      <c r="J3">
        <v>48</v>
      </c>
      <c r="K3">
        <v>22</v>
      </c>
      <c r="L3">
        <v>1</v>
      </c>
      <c r="M3">
        <v>40</v>
      </c>
      <c r="N3">
        <v>36</v>
      </c>
      <c r="O3">
        <v>5</v>
      </c>
      <c r="P3">
        <v>44</v>
      </c>
      <c r="Q3">
        <v>26</v>
      </c>
      <c r="R3">
        <v>36</v>
      </c>
      <c r="S3">
        <v>37</v>
      </c>
      <c r="T3">
        <v>45</v>
      </c>
      <c r="U3">
        <v>34</v>
      </c>
      <c r="V3">
        <v>9</v>
      </c>
      <c r="W3">
        <v>46</v>
      </c>
      <c r="X3">
        <v>49</v>
      </c>
      <c r="Y3">
        <v>22</v>
      </c>
      <c r="Z3">
        <v>42</v>
      </c>
      <c r="AA3">
        <v>48</v>
      </c>
    </row>
    <row r="4" spans="1:27" x14ac:dyDescent="0.25">
      <c r="A4" t="s">
        <v>48</v>
      </c>
      <c r="B4">
        <v>17</v>
      </c>
      <c r="C4">
        <v>10</v>
      </c>
      <c r="D4">
        <v>17</v>
      </c>
      <c r="E4">
        <v>24</v>
      </c>
      <c r="F4">
        <v>41</v>
      </c>
      <c r="G4">
        <v>34</v>
      </c>
      <c r="H4">
        <v>8</v>
      </c>
      <c r="I4">
        <v>27</v>
      </c>
      <c r="J4">
        <v>23</v>
      </c>
      <c r="K4">
        <v>37</v>
      </c>
      <c r="L4">
        <v>7</v>
      </c>
      <c r="M4">
        <v>13</v>
      </c>
      <c r="N4">
        <v>16</v>
      </c>
      <c r="O4">
        <v>3</v>
      </c>
      <c r="P4">
        <v>13</v>
      </c>
      <c r="Q4">
        <v>48</v>
      </c>
      <c r="R4">
        <v>36</v>
      </c>
      <c r="S4">
        <v>30</v>
      </c>
      <c r="T4">
        <v>17</v>
      </c>
      <c r="U4">
        <v>19</v>
      </c>
      <c r="V4">
        <v>15</v>
      </c>
      <c r="W4">
        <v>24</v>
      </c>
      <c r="X4">
        <v>10</v>
      </c>
      <c r="Y4">
        <v>25</v>
      </c>
      <c r="Z4">
        <v>12</v>
      </c>
      <c r="AA4">
        <v>11</v>
      </c>
    </row>
    <row r="5" spans="1:27" x14ac:dyDescent="0.25">
      <c r="A5" t="s">
        <v>47</v>
      </c>
      <c r="B5">
        <v>47</v>
      </c>
      <c r="C5">
        <v>42</v>
      </c>
      <c r="D5">
        <v>46</v>
      </c>
      <c r="E5">
        <v>49</v>
      </c>
      <c r="F5">
        <v>20</v>
      </c>
      <c r="G5">
        <v>50</v>
      </c>
      <c r="H5">
        <v>37</v>
      </c>
      <c r="I5">
        <v>26</v>
      </c>
      <c r="J5">
        <v>41</v>
      </c>
      <c r="K5">
        <v>38</v>
      </c>
      <c r="L5">
        <v>16</v>
      </c>
      <c r="M5">
        <v>48</v>
      </c>
      <c r="N5">
        <v>36</v>
      </c>
      <c r="O5">
        <v>21</v>
      </c>
      <c r="P5">
        <v>49</v>
      </c>
      <c r="Q5">
        <v>36</v>
      </c>
      <c r="R5">
        <v>9</v>
      </c>
      <c r="S5">
        <v>49</v>
      </c>
      <c r="T5">
        <v>33</v>
      </c>
      <c r="U5">
        <v>42</v>
      </c>
      <c r="V5">
        <v>47</v>
      </c>
      <c r="W5">
        <v>49</v>
      </c>
      <c r="X5">
        <v>46</v>
      </c>
      <c r="Y5">
        <v>47</v>
      </c>
      <c r="Z5">
        <v>28</v>
      </c>
      <c r="AA5">
        <v>45</v>
      </c>
    </row>
    <row r="6" spans="1:27" x14ac:dyDescent="0.25">
      <c r="A6" t="s">
        <v>46</v>
      </c>
      <c r="B6">
        <v>3</v>
      </c>
      <c r="C6">
        <v>11</v>
      </c>
      <c r="D6">
        <v>7</v>
      </c>
      <c r="E6">
        <v>16</v>
      </c>
      <c r="F6">
        <v>29</v>
      </c>
      <c r="G6">
        <v>8</v>
      </c>
      <c r="H6">
        <v>21</v>
      </c>
      <c r="I6">
        <v>7</v>
      </c>
      <c r="J6">
        <v>15</v>
      </c>
      <c r="K6">
        <v>26</v>
      </c>
      <c r="L6">
        <v>48</v>
      </c>
      <c r="M6">
        <v>2</v>
      </c>
      <c r="N6">
        <v>2</v>
      </c>
      <c r="O6">
        <v>4</v>
      </c>
      <c r="P6">
        <v>2</v>
      </c>
      <c r="Q6">
        <v>20</v>
      </c>
      <c r="R6">
        <v>3</v>
      </c>
      <c r="S6">
        <v>22</v>
      </c>
      <c r="T6">
        <v>30</v>
      </c>
      <c r="U6">
        <v>5</v>
      </c>
      <c r="V6">
        <v>6</v>
      </c>
      <c r="W6">
        <v>4</v>
      </c>
      <c r="X6">
        <v>3</v>
      </c>
      <c r="Y6">
        <v>12</v>
      </c>
      <c r="Z6">
        <v>24</v>
      </c>
      <c r="AA6">
        <v>2</v>
      </c>
    </row>
    <row r="7" spans="1:27" x14ac:dyDescent="0.25">
      <c r="A7" t="s">
        <v>45</v>
      </c>
      <c r="B7">
        <v>6</v>
      </c>
      <c r="C7">
        <v>6</v>
      </c>
      <c r="D7">
        <v>6</v>
      </c>
      <c r="E7">
        <v>2</v>
      </c>
      <c r="F7">
        <v>16</v>
      </c>
      <c r="G7">
        <v>7</v>
      </c>
      <c r="H7">
        <v>25</v>
      </c>
      <c r="I7">
        <v>12</v>
      </c>
      <c r="J7">
        <v>38</v>
      </c>
      <c r="K7">
        <v>30</v>
      </c>
      <c r="L7">
        <v>5</v>
      </c>
      <c r="M7">
        <v>9</v>
      </c>
      <c r="N7">
        <v>4</v>
      </c>
      <c r="O7">
        <v>8</v>
      </c>
      <c r="P7">
        <v>7</v>
      </c>
      <c r="Q7">
        <v>21</v>
      </c>
      <c r="R7">
        <v>9</v>
      </c>
      <c r="S7">
        <v>14</v>
      </c>
      <c r="T7">
        <v>9</v>
      </c>
      <c r="U7">
        <v>3</v>
      </c>
      <c r="V7">
        <v>5</v>
      </c>
      <c r="W7">
        <v>9</v>
      </c>
      <c r="X7">
        <v>19</v>
      </c>
      <c r="Y7">
        <v>11</v>
      </c>
      <c r="Z7">
        <v>34</v>
      </c>
      <c r="AA7">
        <v>5</v>
      </c>
    </row>
    <row r="8" spans="1:27" x14ac:dyDescent="0.25">
      <c r="A8" t="s">
        <v>44</v>
      </c>
      <c r="B8">
        <v>8</v>
      </c>
      <c r="C8">
        <v>12</v>
      </c>
      <c r="D8">
        <v>4</v>
      </c>
      <c r="E8">
        <v>4</v>
      </c>
      <c r="F8">
        <v>31</v>
      </c>
      <c r="G8">
        <v>4</v>
      </c>
      <c r="H8">
        <v>10</v>
      </c>
      <c r="I8">
        <v>3</v>
      </c>
      <c r="J8">
        <v>25</v>
      </c>
      <c r="K8">
        <v>4</v>
      </c>
      <c r="L8">
        <v>50</v>
      </c>
      <c r="M8">
        <v>6</v>
      </c>
      <c r="N8">
        <v>18</v>
      </c>
      <c r="O8">
        <v>18</v>
      </c>
      <c r="P8">
        <v>4</v>
      </c>
      <c r="Q8">
        <v>1</v>
      </c>
      <c r="R8">
        <v>36</v>
      </c>
      <c r="S8">
        <v>4</v>
      </c>
      <c r="T8">
        <v>26</v>
      </c>
      <c r="U8">
        <v>14</v>
      </c>
      <c r="V8">
        <v>14</v>
      </c>
      <c r="W8">
        <v>11</v>
      </c>
      <c r="X8">
        <v>4</v>
      </c>
      <c r="Y8">
        <v>37</v>
      </c>
      <c r="Z8">
        <v>13</v>
      </c>
      <c r="AA8">
        <v>17</v>
      </c>
    </row>
    <row r="9" spans="1:27" x14ac:dyDescent="0.25">
      <c r="A9" t="s">
        <v>43</v>
      </c>
      <c r="B9">
        <v>2</v>
      </c>
      <c r="C9">
        <v>3</v>
      </c>
      <c r="D9">
        <v>9</v>
      </c>
      <c r="E9">
        <v>23</v>
      </c>
      <c r="F9">
        <v>4</v>
      </c>
      <c r="G9">
        <v>12</v>
      </c>
      <c r="H9">
        <v>7</v>
      </c>
      <c r="I9">
        <v>1</v>
      </c>
      <c r="J9">
        <v>6</v>
      </c>
      <c r="K9">
        <v>1</v>
      </c>
      <c r="L9">
        <v>13</v>
      </c>
      <c r="M9">
        <v>8</v>
      </c>
      <c r="N9">
        <v>36</v>
      </c>
      <c r="O9">
        <v>28</v>
      </c>
      <c r="P9">
        <v>22</v>
      </c>
      <c r="Q9">
        <v>28</v>
      </c>
      <c r="R9">
        <v>24</v>
      </c>
      <c r="S9">
        <v>10</v>
      </c>
      <c r="T9">
        <v>25</v>
      </c>
      <c r="U9">
        <v>13</v>
      </c>
      <c r="V9">
        <v>7</v>
      </c>
      <c r="W9">
        <v>3</v>
      </c>
      <c r="X9">
        <v>1</v>
      </c>
      <c r="Y9">
        <v>48</v>
      </c>
      <c r="Z9">
        <v>33</v>
      </c>
      <c r="AA9">
        <v>32</v>
      </c>
    </row>
    <row r="10" spans="1:27" x14ac:dyDescent="0.25">
      <c r="A10" t="s">
        <v>42</v>
      </c>
      <c r="B10">
        <v>25</v>
      </c>
      <c r="C10">
        <v>29</v>
      </c>
      <c r="D10">
        <v>35</v>
      </c>
      <c r="E10">
        <v>31</v>
      </c>
      <c r="F10">
        <v>45</v>
      </c>
      <c r="G10">
        <v>42</v>
      </c>
      <c r="H10">
        <v>40</v>
      </c>
      <c r="I10">
        <v>21</v>
      </c>
      <c r="J10">
        <v>4</v>
      </c>
      <c r="K10">
        <v>39</v>
      </c>
      <c r="L10">
        <v>4</v>
      </c>
      <c r="M10">
        <v>17</v>
      </c>
      <c r="N10">
        <v>19</v>
      </c>
      <c r="O10">
        <v>12</v>
      </c>
      <c r="P10">
        <v>10</v>
      </c>
      <c r="Q10">
        <v>22</v>
      </c>
      <c r="R10">
        <v>49</v>
      </c>
      <c r="S10">
        <v>20</v>
      </c>
      <c r="T10">
        <v>34</v>
      </c>
      <c r="U10">
        <v>30</v>
      </c>
      <c r="V10">
        <v>36</v>
      </c>
      <c r="W10">
        <v>20</v>
      </c>
      <c r="X10">
        <v>25</v>
      </c>
      <c r="Y10">
        <v>44</v>
      </c>
      <c r="Z10">
        <v>27</v>
      </c>
      <c r="AA10">
        <v>29</v>
      </c>
    </row>
    <row r="11" spans="1:27" x14ac:dyDescent="0.25">
      <c r="A11" t="s">
        <v>41</v>
      </c>
      <c r="B11">
        <v>21</v>
      </c>
      <c r="C11">
        <v>20</v>
      </c>
      <c r="D11">
        <v>21</v>
      </c>
      <c r="E11">
        <v>26</v>
      </c>
      <c r="F11">
        <v>44</v>
      </c>
      <c r="G11">
        <v>39</v>
      </c>
      <c r="H11">
        <v>15</v>
      </c>
      <c r="I11">
        <v>15</v>
      </c>
      <c r="J11">
        <v>11</v>
      </c>
      <c r="K11">
        <v>15</v>
      </c>
      <c r="L11">
        <v>8</v>
      </c>
      <c r="M11">
        <v>11</v>
      </c>
      <c r="N11">
        <v>21</v>
      </c>
      <c r="O11">
        <v>22</v>
      </c>
      <c r="P11">
        <v>26</v>
      </c>
      <c r="Q11">
        <v>34</v>
      </c>
      <c r="R11">
        <v>17</v>
      </c>
      <c r="S11">
        <v>33</v>
      </c>
      <c r="T11">
        <v>32</v>
      </c>
      <c r="U11">
        <v>23</v>
      </c>
      <c r="V11">
        <v>28</v>
      </c>
      <c r="W11">
        <v>13</v>
      </c>
      <c r="X11">
        <v>31</v>
      </c>
      <c r="Y11">
        <v>36</v>
      </c>
      <c r="Z11">
        <v>29</v>
      </c>
      <c r="AA11">
        <v>18</v>
      </c>
    </row>
    <row r="12" spans="1:27" x14ac:dyDescent="0.25">
      <c r="A12" t="s">
        <v>40</v>
      </c>
      <c r="B12">
        <v>43</v>
      </c>
      <c r="C12">
        <v>44</v>
      </c>
      <c r="D12">
        <v>31</v>
      </c>
      <c r="E12">
        <v>15</v>
      </c>
      <c r="F12">
        <v>23</v>
      </c>
      <c r="G12">
        <v>10</v>
      </c>
      <c r="H12">
        <v>50</v>
      </c>
      <c r="I12">
        <v>42</v>
      </c>
      <c r="J12">
        <v>50</v>
      </c>
      <c r="K12">
        <v>23</v>
      </c>
      <c r="L12">
        <v>31</v>
      </c>
      <c r="M12">
        <v>32</v>
      </c>
      <c r="N12">
        <v>36</v>
      </c>
      <c r="O12">
        <v>26</v>
      </c>
      <c r="P12">
        <v>40</v>
      </c>
      <c r="Q12">
        <v>26</v>
      </c>
      <c r="R12">
        <v>24</v>
      </c>
      <c r="S12">
        <v>40</v>
      </c>
      <c r="T12">
        <v>49</v>
      </c>
      <c r="U12">
        <v>41</v>
      </c>
      <c r="V12">
        <v>41</v>
      </c>
      <c r="W12">
        <v>34</v>
      </c>
      <c r="X12">
        <v>34</v>
      </c>
      <c r="Y12">
        <v>19</v>
      </c>
      <c r="Z12">
        <v>37</v>
      </c>
      <c r="AA12">
        <v>47</v>
      </c>
    </row>
    <row r="13" spans="1:27" x14ac:dyDescent="0.25">
      <c r="A13" t="s">
        <v>39</v>
      </c>
      <c r="B13">
        <v>24</v>
      </c>
      <c r="C13">
        <v>31</v>
      </c>
      <c r="D13">
        <v>25</v>
      </c>
      <c r="E13">
        <v>35</v>
      </c>
      <c r="F13">
        <v>48</v>
      </c>
      <c r="G13">
        <v>19</v>
      </c>
      <c r="H13">
        <v>16</v>
      </c>
      <c r="I13">
        <v>41</v>
      </c>
      <c r="J13">
        <v>14</v>
      </c>
      <c r="K13">
        <v>48</v>
      </c>
      <c r="L13">
        <v>2</v>
      </c>
      <c r="M13">
        <v>28</v>
      </c>
      <c r="N13">
        <v>22</v>
      </c>
      <c r="O13">
        <v>7</v>
      </c>
      <c r="P13">
        <v>15</v>
      </c>
      <c r="Q13">
        <v>12</v>
      </c>
      <c r="R13">
        <v>49</v>
      </c>
      <c r="S13">
        <v>35</v>
      </c>
      <c r="T13">
        <v>20</v>
      </c>
      <c r="U13">
        <v>18</v>
      </c>
      <c r="V13">
        <v>30</v>
      </c>
      <c r="W13">
        <v>12</v>
      </c>
      <c r="X13">
        <v>8</v>
      </c>
      <c r="Y13">
        <v>7</v>
      </c>
      <c r="Z13">
        <v>8</v>
      </c>
      <c r="AA13">
        <v>28</v>
      </c>
    </row>
    <row r="14" spans="1:27" x14ac:dyDescent="0.25">
      <c r="A14" t="s">
        <v>38</v>
      </c>
      <c r="B14">
        <v>16</v>
      </c>
      <c r="C14">
        <v>18</v>
      </c>
      <c r="D14">
        <v>13</v>
      </c>
      <c r="E14">
        <v>14</v>
      </c>
      <c r="F14">
        <v>17</v>
      </c>
      <c r="G14">
        <v>16</v>
      </c>
      <c r="H14">
        <v>22</v>
      </c>
      <c r="I14">
        <v>6</v>
      </c>
      <c r="J14">
        <v>13</v>
      </c>
      <c r="K14">
        <v>14</v>
      </c>
      <c r="L14">
        <v>33</v>
      </c>
      <c r="M14">
        <v>16</v>
      </c>
      <c r="N14">
        <v>15</v>
      </c>
      <c r="O14">
        <v>45</v>
      </c>
      <c r="P14">
        <v>30</v>
      </c>
      <c r="Q14">
        <v>16</v>
      </c>
      <c r="R14">
        <v>24</v>
      </c>
      <c r="S14">
        <v>24</v>
      </c>
      <c r="T14">
        <v>18</v>
      </c>
      <c r="U14">
        <v>24</v>
      </c>
      <c r="V14">
        <v>25</v>
      </c>
      <c r="W14">
        <v>22</v>
      </c>
      <c r="X14">
        <v>13</v>
      </c>
      <c r="Y14">
        <v>27</v>
      </c>
      <c r="Z14">
        <v>15</v>
      </c>
      <c r="AA14">
        <v>9</v>
      </c>
    </row>
    <row r="15" spans="1:27" x14ac:dyDescent="0.25">
      <c r="A15" t="s">
        <v>37</v>
      </c>
      <c r="B15">
        <v>38</v>
      </c>
      <c r="C15">
        <v>39</v>
      </c>
      <c r="D15">
        <v>45</v>
      </c>
      <c r="E15">
        <v>43</v>
      </c>
      <c r="F15">
        <v>27</v>
      </c>
      <c r="G15">
        <v>41</v>
      </c>
      <c r="H15">
        <v>19</v>
      </c>
      <c r="I15">
        <v>44</v>
      </c>
      <c r="J15">
        <v>37</v>
      </c>
      <c r="K15">
        <v>8</v>
      </c>
      <c r="L15">
        <v>29</v>
      </c>
      <c r="M15">
        <v>26</v>
      </c>
      <c r="N15">
        <v>12</v>
      </c>
      <c r="O15">
        <v>39</v>
      </c>
      <c r="P15">
        <v>36</v>
      </c>
      <c r="Q15">
        <v>31</v>
      </c>
      <c r="R15">
        <v>9</v>
      </c>
      <c r="S15">
        <v>28</v>
      </c>
      <c r="T15">
        <v>19</v>
      </c>
      <c r="U15">
        <v>32</v>
      </c>
      <c r="V15">
        <v>34</v>
      </c>
      <c r="W15">
        <v>36</v>
      </c>
      <c r="X15">
        <v>14</v>
      </c>
      <c r="Y15">
        <v>31</v>
      </c>
      <c r="Z15">
        <v>41</v>
      </c>
      <c r="AA15">
        <v>26</v>
      </c>
    </row>
    <row r="16" spans="1:27" x14ac:dyDescent="0.25">
      <c r="A16" t="s">
        <v>36</v>
      </c>
      <c r="B16">
        <v>37</v>
      </c>
      <c r="C16">
        <v>27</v>
      </c>
      <c r="D16">
        <v>36</v>
      </c>
      <c r="E16">
        <v>32</v>
      </c>
      <c r="F16">
        <v>7</v>
      </c>
      <c r="G16">
        <v>40</v>
      </c>
      <c r="H16">
        <v>27</v>
      </c>
      <c r="I16">
        <v>28</v>
      </c>
      <c r="J16">
        <v>33</v>
      </c>
      <c r="K16">
        <v>34</v>
      </c>
      <c r="L16">
        <v>40</v>
      </c>
      <c r="M16">
        <v>46</v>
      </c>
      <c r="N16">
        <v>29</v>
      </c>
      <c r="O16">
        <v>41</v>
      </c>
      <c r="P16">
        <v>31</v>
      </c>
      <c r="Q16">
        <v>14</v>
      </c>
      <c r="R16">
        <v>17</v>
      </c>
      <c r="S16">
        <v>32</v>
      </c>
      <c r="T16">
        <v>8</v>
      </c>
      <c r="U16">
        <v>36</v>
      </c>
      <c r="V16">
        <v>35</v>
      </c>
      <c r="W16">
        <v>38</v>
      </c>
      <c r="X16">
        <v>16</v>
      </c>
      <c r="Y16">
        <v>24</v>
      </c>
      <c r="Z16">
        <v>25</v>
      </c>
      <c r="AA16">
        <v>46</v>
      </c>
    </row>
    <row r="17" spans="1:27" x14ac:dyDescent="0.25">
      <c r="A17" t="s">
        <v>35</v>
      </c>
      <c r="B17">
        <v>31</v>
      </c>
      <c r="C17">
        <v>28</v>
      </c>
      <c r="D17">
        <v>33</v>
      </c>
      <c r="E17">
        <v>18</v>
      </c>
      <c r="F17">
        <v>10</v>
      </c>
      <c r="G17">
        <v>33</v>
      </c>
      <c r="H17">
        <v>33</v>
      </c>
      <c r="I17">
        <v>31</v>
      </c>
      <c r="J17">
        <v>40</v>
      </c>
      <c r="K17">
        <v>21</v>
      </c>
      <c r="L17">
        <v>32</v>
      </c>
      <c r="M17">
        <v>24</v>
      </c>
      <c r="N17">
        <v>10</v>
      </c>
      <c r="O17">
        <v>34</v>
      </c>
      <c r="P17">
        <v>33</v>
      </c>
      <c r="Q17">
        <v>30</v>
      </c>
      <c r="R17">
        <v>31</v>
      </c>
      <c r="S17">
        <v>27</v>
      </c>
      <c r="T17">
        <v>21</v>
      </c>
      <c r="U17">
        <v>26</v>
      </c>
      <c r="V17">
        <v>29</v>
      </c>
      <c r="W17">
        <v>19</v>
      </c>
      <c r="X17">
        <v>38</v>
      </c>
      <c r="Y17">
        <v>41</v>
      </c>
      <c r="Z17">
        <v>39</v>
      </c>
      <c r="AA17">
        <v>25</v>
      </c>
    </row>
    <row r="18" spans="1:27" x14ac:dyDescent="0.25">
      <c r="A18" t="s">
        <v>34</v>
      </c>
      <c r="B18">
        <v>44</v>
      </c>
      <c r="C18">
        <v>41</v>
      </c>
      <c r="D18">
        <v>41</v>
      </c>
      <c r="E18">
        <v>46</v>
      </c>
      <c r="F18">
        <v>30</v>
      </c>
      <c r="G18">
        <v>49</v>
      </c>
      <c r="H18">
        <v>42</v>
      </c>
      <c r="I18">
        <v>36</v>
      </c>
      <c r="J18">
        <v>20</v>
      </c>
      <c r="K18">
        <v>9</v>
      </c>
      <c r="L18">
        <v>28</v>
      </c>
      <c r="M18">
        <v>41</v>
      </c>
      <c r="N18">
        <v>36</v>
      </c>
      <c r="O18">
        <v>13</v>
      </c>
      <c r="P18">
        <v>47</v>
      </c>
      <c r="Q18">
        <v>44</v>
      </c>
      <c r="R18">
        <v>9</v>
      </c>
      <c r="S18">
        <v>44</v>
      </c>
      <c r="T18">
        <v>44</v>
      </c>
      <c r="U18">
        <v>38</v>
      </c>
      <c r="V18">
        <v>45</v>
      </c>
      <c r="W18">
        <v>43</v>
      </c>
      <c r="X18">
        <v>36</v>
      </c>
      <c r="Y18">
        <v>43</v>
      </c>
      <c r="Z18">
        <v>36</v>
      </c>
      <c r="AA18">
        <v>36</v>
      </c>
    </row>
    <row r="19" spans="1:27" x14ac:dyDescent="0.25">
      <c r="A19" t="s">
        <v>33</v>
      </c>
      <c r="B19">
        <v>46</v>
      </c>
      <c r="C19">
        <v>48</v>
      </c>
      <c r="D19">
        <v>47</v>
      </c>
      <c r="E19">
        <v>48</v>
      </c>
      <c r="F19">
        <v>46</v>
      </c>
      <c r="G19">
        <v>46</v>
      </c>
      <c r="H19">
        <v>6</v>
      </c>
      <c r="I19">
        <v>24</v>
      </c>
      <c r="J19">
        <v>5</v>
      </c>
      <c r="K19">
        <v>40</v>
      </c>
      <c r="L19">
        <v>39</v>
      </c>
      <c r="M19">
        <v>45</v>
      </c>
      <c r="N19">
        <v>31</v>
      </c>
      <c r="O19">
        <v>14</v>
      </c>
      <c r="P19">
        <v>34</v>
      </c>
      <c r="Q19">
        <v>38</v>
      </c>
      <c r="R19">
        <v>17</v>
      </c>
      <c r="S19">
        <v>42</v>
      </c>
      <c r="T19">
        <v>48</v>
      </c>
      <c r="U19">
        <v>48</v>
      </c>
      <c r="V19">
        <v>44</v>
      </c>
      <c r="W19">
        <v>44</v>
      </c>
      <c r="X19">
        <v>48</v>
      </c>
      <c r="Y19">
        <v>46</v>
      </c>
      <c r="Z19">
        <v>48</v>
      </c>
      <c r="AA19">
        <v>44</v>
      </c>
    </row>
    <row r="20" spans="1:27" x14ac:dyDescent="0.25">
      <c r="A20" t="s">
        <v>32</v>
      </c>
      <c r="B20">
        <v>28</v>
      </c>
      <c r="C20">
        <v>38</v>
      </c>
      <c r="D20">
        <v>23</v>
      </c>
      <c r="E20">
        <v>25</v>
      </c>
      <c r="F20">
        <v>22</v>
      </c>
      <c r="G20">
        <v>9</v>
      </c>
      <c r="H20">
        <v>36</v>
      </c>
      <c r="I20">
        <v>38</v>
      </c>
      <c r="J20">
        <v>43</v>
      </c>
      <c r="K20">
        <v>10</v>
      </c>
      <c r="L20">
        <v>11</v>
      </c>
      <c r="M20">
        <v>36</v>
      </c>
      <c r="N20">
        <v>36</v>
      </c>
      <c r="O20">
        <v>16</v>
      </c>
      <c r="P20">
        <v>41</v>
      </c>
      <c r="Q20">
        <v>1</v>
      </c>
      <c r="R20">
        <v>36</v>
      </c>
      <c r="S20">
        <v>26</v>
      </c>
      <c r="T20">
        <v>24</v>
      </c>
      <c r="U20">
        <v>40</v>
      </c>
      <c r="V20">
        <v>46</v>
      </c>
      <c r="W20">
        <v>31</v>
      </c>
      <c r="X20">
        <v>41</v>
      </c>
      <c r="Y20">
        <v>33</v>
      </c>
      <c r="Z20">
        <v>5</v>
      </c>
      <c r="AA20">
        <v>30</v>
      </c>
    </row>
    <row r="21" spans="1:27" x14ac:dyDescent="0.25">
      <c r="A21" t="s">
        <v>31</v>
      </c>
      <c r="B21">
        <v>5</v>
      </c>
      <c r="C21">
        <v>5</v>
      </c>
      <c r="D21">
        <v>2</v>
      </c>
      <c r="E21">
        <v>3</v>
      </c>
      <c r="F21">
        <v>19</v>
      </c>
      <c r="G21">
        <v>3</v>
      </c>
      <c r="H21">
        <v>11</v>
      </c>
      <c r="I21">
        <v>19</v>
      </c>
      <c r="J21">
        <v>22</v>
      </c>
      <c r="K21">
        <v>24</v>
      </c>
      <c r="L21">
        <v>22</v>
      </c>
      <c r="M21">
        <v>4</v>
      </c>
      <c r="N21">
        <v>11</v>
      </c>
      <c r="O21">
        <v>27</v>
      </c>
      <c r="P21">
        <v>16</v>
      </c>
      <c r="Q21">
        <v>28</v>
      </c>
      <c r="R21">
        <v>24</v>
      </c>
      <c r="S21">
        <v>9</v>
      </c>
      <c r="T21">
        <v>43</v>
      </c>
      <c r="U21">
        <v>4</v>
      </c>
      <c r="V21">
        <v>4</v>
      </c>
      <c r="W21">
        <v>14</v>
      </c>
      <c r="X21">
        <v>18</v>
      </c>
      <c r="Y21">
        <v>2</v>
      </c>
      <c r="Z21">
        <v>21</v>
      </c>
      <c r="AA21">
        <v>8</v>
      </c>
    </row>
    <row r="22" spans="1:27" x14ac:dyDescent="0.25">
      <c r="A22" t="s">
        <v>30</v>
      </c>
      <c r="B22">
        <v>1</v>
      </c>
      <c r="C22">
        <v>4</v>
      </c>
      <c r="D22">
        <v>1</v>
      </c>
      <c r="E22">
        <v>1</v>
      </c>
      <c r="F22">
        <v>37</v>
      </c>
      <c r="G22">
        <v>2</v>
      </c>
      <c r="H22">
        <v>17</v>
      </c>
      <c r="I22">
        <v>8</v>
      </c>
      <c r="J22">
        <v>17</v>
      </c>
      <c r="K22">
        <v>7</v>
      </c>
      <c r="L22">
        <v>38</v>
      </c>
      <c r="M22">
        <v>1</v>
      </c>
      <c r="N22">
        <v>3</v>
      </c>
      <c r="O22">
        <v>31</v>
      </c>
      <c r="P22">
        <v>3</v>
      </c>
      <c r="Q22">
        <v>1</v>
      </c>
      <c r="R22">
        <v>17</v>
      </c>
      <c r="S22">
        <v>1</v>
      </c>
      <c r="T22">
        <v>7</v>
      </c>
      <c r="U22">
        <v>1</v>
      </c>
      <c r="V22">
        <v>3</v>
      </c>
      <c r="W22">
        <v>7</v>
      </c>
      <c r="X22">
        <v>5</v>
      </c>
      <c r="Y22">
        <v>4</v>
      </c>
      <c r="Z22">
        <v>45</v>
      </c>
      <c r="AA22">
        <v>1</v>
      </c>
    </row>
    <row r="23" spans="1:27" x14ac:dyDescent="0.25">
      <c r="A23" t="s">
        <v>29</v>
      </c>
      <c r="B23">
        <v>18</v>
      </c>
      <c r="C23">
        <v>23</v>
      </c>
      <c r="D23">
        <v>18</v>
      </c>
      <c r="E23">
        <v>33</v>
      </c>
      <c r="F23">
        <v>8</v>
      </c>
      <c r="G23">
        <v>31</v>
      </c>
      <c r="H23">
        <v>24</v>
      </c>
      <c r="I23">
        <v>33</v>
      </c>
      <c r="J23">
        <v>19</v>
      </c>
      <c r="K23">
        <v>17</v>
      </c>
      <c r="L23">
        <v>26</v>
      </c>
      <c r="M23">
        <v>37</v>
      </c>
      <c r="N23">
        <v>33</v>
      </c>
      <c r="O23">
        <v>47</v>
      </c>
      <c r="P23">
        <v>17</v>
      </c>
      <c r="Q23">
        <v>24</v>
      </c>
      <c r="R23">
        <v>1</v>
      </c>
      <c r="S23">
        <v>17</v>
      </c>
      <c r="T23">
        <v>10</v>
      </c>
      <c r="U23">
        <v>20</v>
      </c>
      <c r="V23">
        <v>8</v>
      </c>
      <c r="W23">
        <v>10</v>
      </c>
      <c r="X23">
        <v>2</v>
      </c>
      <c r="Y23">
        <v>14</v>
      </c>
      <c r="Z23">
        <v>26</v>
      </c>
      <c r="AA23">
        <v>20</v>
      </c>
    </row>
    <row r="24" spans="1:27" x14ac:dyDescent="0.25">
      <c r="A24" t="s">
        <v>28</v>
      </c>
      <c r="B24">
        <v>13</v>
      </c>
      <c r="C24">
        <v>8</v>
      </c>
      <c r="D24">
        <v>12</v>
      </c>
      <c r="E24">
        <v>9</v>
      </c>
      <c r="F24">
        <v>26</v>
      </c>
      <c r="G24">
        <v>17</v>
      </c>
      <c r="H24">
        <v>18</v>
      </c>
      <c r="I24">
        <v>4</v>
      </c>
      <c r="J24">
        <v>32</v>
      </c>
      <c r="K24">
        <v>29</v>
      </c>
      <c r="L24">
        <v>25</v>
      </c>
      <c r="M24">
        <v>19</v>
      </c>
      <c r="N24">
        <v>27</v>
      </c>
      <c r="O24">
        <v>48</v>
      </c>
      <c r="P24">
        <v>8</v>
      </c>
      <c r="Q24">
        <v>17</v>
      </c>
      <c r="R24">
        <v>3</v>
      </c>
      <c r="S24">
        <v>8</v>
      </c>
      <c r="T24">
        <v>2</v>
      </c>
      <c r="U24">
        <v>11</v>
      </c>
      <c r="V24">
        <v>10</v>
      </c>
      <c r="W24">
        <v>15</v>
      </c>
      <c r="X24">
        <v>11</v>
      </c>
      <c r="Y24">
        <v>38</v>
      </c>
      <c r="Z24">
        <v>23</v>
      </c>
      <c r="AA24">
        <v>10</v>
      </c>
    </row>
    <row r="25" spans="1:27" x14ac:dyDescent="0.25">
      <c r="A25" t="s">
        <v>27</v>
      </c>
      <c r="B25">
        <v>50</v>
      </c>
      <c r="C25">
        <v>50</v>
      </c>
      <c r="D25">
        <v>49</v>
      </c>
      <c r="E25">
        <v>47</v>
      </c>
      <c r="F25">
        <v>49</v>
      </c>
      <c r="G25">
        <v>44</v>
      </c>
      <c r="H25">
        <v>43</v>
      </c>
      <c r="I25">
        <v>47</v>
      </c>
      <c r="J25">
        <v>24</v>
      </c>
      <c r="K25">
        <v>46</v>
      </c>
      <c r="L25">
        <v>43</v>
      </c>
      <c r="M25">
        <v>30</v>
      </c>
      <c r="N25">
        <v>36</v>
      </c>
      <c r="O25">
        <v>17</v>
      </c>
      <c r="P25">
        <v>50</v>
      </c>
      <c r="Q25">
        <v>47</v>
      </c>
      <c r="R25">
        <v>17</v>
      </c>
      <c r="S25">
        <v>50</v>
      </c>
      <c r="T25">
        <v>15</v>
      </c>
      <c r="U25">
        <v>47</v>
      </c>
      <c r="V25">
        <v>50</v>
      </c>
      <c r="W25">
        <v>50</v>
      </c>
      <c r="X25">
        <v>50</v>
      </c>
      <c r="Y25">
        <v>21</v>
      </c>
      <c r="Z25">
        <v>35</v>
      </c>
      <c r="AA25">
        <v>40</v>
      </c>
    </row>
    <row r="26" spans="1:27" x14ac:dyDescent="0.25">
      <c r="A26" t="s">
        <v>26</v>
      </c>
      <c r="B26">
        <v>33</v>
      </c>
      <c r="C26">
        <v>9</v>
      </c>
      <c r="D26">
        <v>22</v>
      </c>
      <c r="E26">
        <v>36</v>
      </c>
      <c r="F26">
        <v>11</v>
      </c>
      <c r="G26">
        <v>43</v>
      </c>
      <c r="H26">
        <v>26</v>
      </c>
      <c r="I26">
        <v>16</v>
      </c>
      <c r="J26">
        <v>44</v>
      </c>
      <c r="K26">
        <v>33</v>
      </c>
      <c r="L26">
        <v>45</v>
      </c>
      <c r="M26">
        <v>39</v>
      </c>
      <c r="N26">
        <v>32</v>
      </c>
      <c r="O26">
        <v>11</v>
      </c>
      <c r="P26">
        <v>42</v>
      </c>
      <c r="Q26">
        <v>42</v>
      </c>
      <c r="R26">
        <v>9</v>
      </c>
      <c r="S26">
        <v>34</v>
      </c>
      <c r="T26">
        <v>16</v>
      </c>
      <c r="U26">
        <v>27</v>
      </c>
      <c r="V26">
        <v>22</v>
      </c>
      <c r="W26">
        <v>33</v>
      </c>
      <c r="X26">
        <v>26</v>
      </c>
      <c r="Y26">
        <v>32</v>
      </c>
      <c r="Z26">
        <v>30</v>
      </c>
      <c r="AA26">
        <v>41</v>
      </c>
    </row>
    <row r="27" spans="1:27" x14ac:dyDescent="0.25">
      <c r="A27" t="s">
        <v>25</v>
      </c>
      <c r="B27">
        <v>39</v>
      </c>
      <c r="C27">
        <v>46</v>
      </c>
      <c r="D27">
        <v>32</v>
      </c>
      <c r="E27">
        <v>19</v>
      </c>
      <c r="F27">
        <v>33</v>
      </c>
      <c r="G27">
        <v>22</v>
      </c>
      <c r="H27">
        <v>30</v>
      </c>
      <c r="I27">
        <v>49</v>
      </c>
      <c r="J27">
        <v>42</v>
      </c>
      <c r="K27">
        <v>50</v>
      </c>
      <c r="L27">
        <v>6</v>
      </c>
      <c r="M27">
        <v>35</v>
      </c>
      <c r="N27">
        <v>36</v>
      </c>
      <c r="O27">
        <v>2</v>
      </c>
      <c r="P27">
        <v>23</v>
      </c>
      <c r="Q27">
        <v>11</v>
      </c>
      <c r="R27">
        <v>31</v>
      </c>
      <c r="S27">
        <v>45</v>
      </c>
      <c r="T27">
        <v>27</v>
      </c>
      <c r="U27">
        <v>43</v>
      </c>
      <c r="V27">
        <v>37</v>
      </c>
      <c r="W27">
        <v>16</v>
      </c>
      <c r="X27">
        <v>33</v>
      </c>
      <c r="Y27">
        <v>18</v>
      </c>
      <c r="Z27">
        <v>4</v>
      </c>
      <c r="AA27">
        <v>37</v>
      </c>
    </row>
    <row r="28" spans="1:27" x14ac:dyDescent="0.25">
      <c r="A28" t="s">
        <v>24</v>
      </c>
      <c r="B28">
        <v>35</v>
      </c>
      <c r="C28">
        <v>13</v>
      </c>
      <c r="D28">
        <v>34</v>
      </c>
      <c r="E28">
        <v>21</v>
      </c>
      <c r="F28">
        <v>28</v>
      </c>
      <c r="G28">
        <v>30</v>
      </c>
      <c r="H28">
        <v>13</v>
      </c>
      <c r="I28">
        <v>10</v>
      </c>
      <c r="J28">
        <v>28</v>
      </c>
      <c r="K28">
        <v>43</v>
      </c>
      <c r="L28">
        <v>42</v>
      </c>
      <c r="M28">
        <v>44</v>
      </c>
      <c r="N28">
        <v>28</v>
      </c>
      <c r="O28">
        <v>42</v>
      </c>
      <c r="P28">
        <v>20</v>
      </c>
      <c r="Q28">
        <v>18</v>
      </c>
      <c r="R28">
        <v>9</v>
      </c>
      <c r="S28">
        <v>25</v>
      </c>
      <c r="T28">
        <v>39</v>
      </c>
      <c r="U28">
        <v>35</v>
      </c>
      <c r="V28">
        <v>27</v>
      </c>
      <c r="W28">
        <v>42</v>
      </c>
      <c r="X28">
        <v>37</v>
      </c>
      <c r="Y28">
        <v>35</v>
      </c>
      <c r="Z28">
        <v>32</v>
      </c>
      <c r="AA28">
        <v>39</v>
      </c>
    </row>
    <row r="29" spans="1:27" x14ac:dyDescent="0.25">
      <c r="A29" t="s">
        <v>23</v>
      </c>
      <c r="B29">
        <v>27</v>
      </c>
      <c r="C29">
        <v>47</v>
      </c>
      <c r="D29">
        <v>50</v>
      </c>
      <c r="E29">
        <v>45</v>
      </c>
      <c r="F29">
        <v>40</v>
      </c>
      <c r="G29">
        <v>45</v>
      </c>
      <c r="H29">
        <v>5</v>
      </c>
      <c r="I29">
        <v>40</v>
      </c>
      <c r="J29">
        <v>1</v>
      </c>
      <c r="K29">
        <v>31</v>
      </c>
      <c r="L29">
        <v>14</v>
      </c>
      <c r="M29">
        <v>20</v>
      </c>
      <c r="N29">
        <v>24</v>
      </c>
      <c r="O29">
        <v>9</v>
      </c>
      <c r="P29">
        <v>14</v>
      </c>
      <c r="Q29">
        <v>48</v>
      </c>
      <c r="R29">
        <v>36</v>
      </c>
      <c r="S29">
        <v>23</v>
      </c>
      <c r="T29">
        <v>36</v>
      </c>
      <c r="U29">
        <v>45</v>
      </c>
      <c r="V29">
        <v>49</v>
      </c>
      <c r="W29">
        <v>2</v>
      </c>
      <c r="X29">
        <v>17</v>
      </c>
      <c r="Y29">
        <v>50</v>
      </c>
      <c r="Z29">
        <v>22</v>
      </c>
      <c r="AA29">
        <v>42</v>
      </c>
    </row>
    <row r="30" spans="1:27" x14ac:dyDescent="0.25">
      <c r="A30" t="s">
        <v>22</v>
      </c>
      <c r="B30">
        <v>11</v>
      </c>
      <c r="C30">
        <v>21</v>
      </c>
      <c r="D30">
        <v>16</v>
      </c>
      <c r="E30">
        <v>8</v>
      </c>
      <c r="F30">
        <v>5</v>
      </c>
      <c r="G30">
        <v>14</v>
      </c>
      <c r="H30">
        <v>38</v>
      </c>
      <c r="I30">
        <v>17</v>
      </c>
      <c r="J30">
        <v>45</v>
      </c>
      <c r="K30">
        <v>2</v>
      </c>
      <c r="L30">
        <v>15</v>
      </c>
      <c r="M30">
        <v>31</v>
      </c>
      <c r="N30">
        <v>25</v>
      </c>
      <c r="O30">
        <v>24</v>
      </c>
      <c r="P30">
        <v>5</v>
      </c>
      <c r="Q30">
        <v>1</v>
      </c>
      <c r="R30">
        <v>36</v>
      </c>
      <c r="S30">
        <v>2</v>
      </c>
      <c r="T30">
        <v>11</v>
      </c>
      <c r="U30">
        <v>6</v>
      </c>
      <c r="V30">
        <v>12</v>
      </c>
      <c r="W30">
        <v>32</v>
      </c>
      <c r="X30">
        <v>6</v>
      </c>
      <c r="Y30">
        <v>28</v>
      </c>
      <c r="Z30">
        <v>3</v>
      </c>
      <c r="AA30">
        <v>12</v>
      </c>
    </row>
    <row r="31" spans="1:27" x14ac:dyDescent="0.25">
      <c r="A31" t="s">
        <v>21</v>
      </c>
      <c r="B31">
        <v>10</v>
      </c>
      <c r="C31">
        <v>7</v>
      </c>
      <c r="D31">
        <v>10</v>
      </c>
      <c r="E31">
        <v>7</v>
      </c>
      <c r="F31">
        <v>24</v>
      </c>
      <c r="G31">
        <v>20</v>
      </c>
      <c r="H31">
        <v>39</v>
      </c>
      <c r="I31">
        <v>9</v>
      </c>
      <c r="J31">
        <v>10</v>
      </c>
      <c r="K31">
        <v>5</v>
      </c>
      <c r="L31">
        <v>34</v>
      </c>
      <c r="M31">
        <v>10</v>
      </c>
      <c r="N31">
        <v>5</v>
      </c>
      <c r="O31">
        <v>37</v>
      </c>
      <c r="P31">
        <v>9</v>
      </c>
      <c r="Q31">
        <v>7</v>
      </c>
      <c r="R31">
        <v>31</v>
      </c>
      <c r="S31">
        <v>6</v>
      </c>
      <c r="T31">
        <v>37</v>
      </c>
      <c r="U31">
        <v>10</v>
      </c>
      <c r="V31">
        <v>11</v>
      </c>
      <c r="W31">
        <v>6</v>
      </c>
      <c r="X31">
        <v>7</v>
      </c>
      <c r="Y31">
        <v>40</v>
      </c>
      <c r="Z31">
        <v>18</v>
      </c>
      <c r="AA31">
        <v>14</v>
      </c>
    </row>
    <row r="32" spans="1:27" x14ac:dyDescent="0.25">
      <c r="A32" t="s">
        <v>20</v>
      </c>
      <c r="B32">
        <v>26</v>
      </c>
      <c r="C32">
        <v>32</v>
      </c>
      <c r="D32">
        <v>19</v>
      </c>
      <c r="E32">
        <v>28</v>
      </c>
      <c r="F32">
        <v>43</v>
      </c>
      <c r="G32">
        <v>23</v>
      </c>
      <c r="H32">
        <v>1</v>
      </c>
      <c r="I32">
        <v>48</v>
      </c>
      <c r="J32">
        <v>26</v>
      </c>
      <c r="K32">
        <v>47</v>
      </c>
      <c r="L32">
        <v>24</v>
      </c>
      <c r="M32">
        <v>47</v>
      </c>
      <c r="N32">
        <v>36</v>
      </c>
      <c r="O32">
        <v>10</v>
      </c>
      <c r="P32">
        <v>19</v>
      </c>
      <c r="Q32">
        <v>50</v>
      </c>
      <c r="R32">
        <v>24</v>
      </c>
      <c r="S32">
        <v>48</v>
      </c>
      <c r="T32">
        <v>47</v>
      </c>
      <c r="U32">
        <v>9</v>
      </c>
      <c r="V32">
        <v>17</v>
      </c>
      <c r="W32">
        <v>27</v>
      </c>
      <c r="X32">
        <v>43</v>
      </c>
      <c r="Y32">
        <v>1</v>
      </c>
      <c r="Z32">
        <v>44</v>
      </c>
      <c r="AA32">
        <v>23</v>
      </c>
    </row>
    <row r="33" spans="1:27" x14ac:dyDescent="0.25">
      <c r="A33" t="s">
        <v>19</v>
      </c>
      <c r="B33">
        <v>12</v>
      </c>
      <c r="C33">
        <v>15</v>
      </c>
      <c r="D33">
        <v>11</v>
      </c>
      <c r="E33">
        <v>10</v>
      </c>
      <c r="F33">
        <v>39</v>
      </c>
      <c r="G33">
        <v>6</v>
      </c>
      <c r="H33">
        <v>35</v>
      </c>
      <c r="I33">
        <v>2</v>
      </c>
      <c r="J33">
        <v>8</v>
      </c>
      <c r="K33">
        <v>13</v>
      </c>
      <c r="L33">
        <v>17</v>
      </c>
      <c r="M33">
        <v>15</v>
      </c>
      <c r="N33">
        <v>13</v>
      </c>
      <c r="O33">
        <v>15</v>
      </c>
      <c r="P33">
        <v>18</v>
      </c>
      <c r="Q33">
        <v>25</v>
      </c>
      <c r="R33">
        <v>9</v>
      </c>
      <c r="S33">
        <v>15</v>
      </c>
      <c r="T33">
        <v>31</v>
      </c>
      <c r="U33">
        <v>28</v>
      </c>
      <c r="V33">
        <v>32</v>
      </c>
      <c r="W33">
        <v>8</v>
      </c>
      <c r="X33">
        <v>27</v>
      </c>
      <c r="Y33">
        <v>30</v>
      </c>
      <c r="Z33">
        <v>10</v>
      </c>
      <c r="AA33">
        <v>6</v>
      </c>
    </row>
    <row r="34" spans="1:27" x14ac:dyDescent="0.25">
      <c r="A34" t="s">
        <v>18</v>
      </c>
      <c r="B34">
        <v>23</v>
      </c>
      <c r="C34">
        <v>14</v>
      </c>
      <c r="D34">
        <v>29</v>
      </c>
      <c r="E34">
        <v>29</v>
      </c>
      <c r="F34">
        <v>35</v>
      </c>
      <c r="G34">
        <v>15</v>
      </c>
      <c r="H34">
        <v>14</v>
      </c>
      <c r="I34">
        <v>22</v>
      </c>
      <c r="J34">
        <v>29</v>
      </c>
      <c r="K34">
        <v>11</v>
      </c>
      <c r="L34">
        <v>19</v>
      </c>
      <c r="M34">
        <v>21</v>
      </c>
      <c r="N34">
        <v>7</v>
      </c>
      <c r="O34">
        <v>29</v>
      </c>
      <c r="P34">
        <v>38</v>
      </c>
      <c r="Q34">
        <v>34</v>
      </c>
      <c r="R34">
        <v>24</v>
      </c>
      <c r="S34">
        <v>29</v>
      </c>
      <c r="T34">
        <v>23</v>
      </c>
      <c r="U34">
        <v>12</v>
      </c>
      <c r="V34">
        <v>23</v>
      </c>
      <c r="W34">
        <v>29</v>
      </c>
      <c r="X34">
        <v>28</v>
      </c>
      <c r="Y34">
        <v>13</v>
      </c>
      <c r="Z34">
        <v>14</v>
      </c>
      <c r="AA34">
        <v>22</v>
      </c>
    </row>
    <row r="35" spans="1:27" x14ac:dyDescent="0.25">
      <c r="A35" t="s">
        <v>17</v>
      </c>
      <c r="B35">
        <v>36</v>
      </c>
      <c r="C35">
        <v>40</v>
      </c>
      <c r="D35">
        <v>48</v>
      </c>
      <c r="E35">
        <v>22</v>
      </c>
      <c r="F35">
        <v>1</v>
      </c>
      <c r="G35">
        <v>25</v>
      </c>
      <c r="H35">
        <v>31</v>
      </c>
      <c r="I35">
        <v>39</v>
      </c>
      <c r="J35">
        <v>16</v>
      </c>
      <c r="K35">
        <v>36</v>
      </c>
      <c r="L35">
        <v>12</v>
      </c>
      <c r="M35">
        <v>33</v>
      </c>
      <c r="N35">
        <v>36</v>
      </c>
      <c r="O35">
        <v>19</v>
      </c>
      <c r="P35">
        <v>45</v>
      </c>
      <c r="Q35">
        <v>13</v>
      </c>
      <c r="R35">
        <v>17</v>
      </c>
      <c r="S35">
        <v>16</v>
      </c>
      <c r="T35">
        <v>13</v>
      </c>
      <c r="U35">
        <v>39</v>
      </c>
      <c r="V35">
        <v>42</v>
      </c>
      <c r="W35">
        <v>40</v>
      </c>
      <c r="X35">
        <v>39</v>
      </c>
      <c r="Y35">
        <v>20</v>
      </c>
      <c r="Z35">
        <v>49</v>
      </c>
      <c r="AA35">
        <v>43</v>
      </c>
    </row>
    <row r="36" spans="1:27" x14ac:dyDescent="0.25">
      <c r="A36" t="s">
        <v>16</v>
      </c>
      <c r="B36">
        <v>29</v>
      </c>
      <c r="C36">
        <v>16</v>
      </c>
      <c r="D36">
        <v>24</v>
      </c>
      <c r="E36">
        <v>40</v>
      </c>
      <c r="F36">
        <v>18</v>
      </c>
      <c r="G36">
        <v>36</v>
      </c>
      <c r="H36">
        <v>28</v>
      </c>
      <c r="I36">
        <v>13</v>
      </c>
      <c r="J36">
        <v>31</v>
      </c>
      <c r="K36">
        <v>19</v>
      </c>
      <c r="L36">
        <v>41</v>
      </c>
      <c r="M36">
        <v>27</v>
      </c>
      <c r="N36">
        <v>34</v>
      </c>
      <c r="O36">
        <v>38</v>
      </c>
      <c r="P36">
        <v>32</v>
      </c>
      <c r="Q36">
        <v>33</v>
      </c>
      <c r="R36">
        <v>3</v>
      </c>
      <c r="S36">
        <v>39</v>
      </c>
      <c r="T36">
        <v>5</v>
      </c>
      <c r="U36">
        <v>31</v>
      </c>
      <c r="V36">
        <v>20</v>
      </c>
      <c r="W36">
        <v>30</v>
      </c>
      <c r="X36">
        <v>21</v>
      </c>
      <c r="Y36">
        <v>16</v>
      </c>
      <c r="Z36">
        <v>40</v>
      </c>
      <c r="AA36">
        <v>21</v>
      </c>
    </row>
    <row r="37" spans="1:27" x14ac:dyDescent="0.25">
      <c r="A37" t="s">
        <v>15</v>
      </c>
      <c r="B37">
        <v>48</v>
      </c>
      <c r="C37">
        <v>37</v>
      </c>
      <c r="D37">
        <v>30</v>
      </c>
      <c r="E37">
        <v>41</v>
      </c>
      <c r="F37">
        <v>32</v>
      </c>
      <c r="G37">
        <v>48</v>
      </c>
      <c r="H37">
        <v>45</v>
      </c>
      <c r="I37">
        <v>34</v>
      </c>
      <c r="J37">
        <v>46</v>
      </c>
      <c r="K37">
        <v>45</v>
      </c>
      <c r="L37">
        <v>35</v>
      </c>
      <c r="M37">
        <v>38</v>
      </c>
      <c r="N37">
        <v>6</v>
      </c>
      <c r="O37">
        <v>33</v>
      </c>
      <c r="P37">
        <v>39</v>
      </c>
      <c r="Q37">
        <v>37</v>
      </c>
      <c r="R37">
        <v>47</v>
      </c>
      <c r="S37">
        <v>43</v>
      </c>
      <c r="T37">
        <v>40</v>
      </c>
      <c r="U37">
        <v>46</v>
      </c>
      <c r="V37">
        <v>38</v>
      </c>
      <c r="W37">
        <v>39</v>
      </c>
      <c r="X37">
        <v>42</v>
      </c>
      <c r="Y37">
        <v>45</v>
      </c>
      <c r="Z37">
        <v>46</v>
      </c>
      <c r="AA37">
        <v>34</v>
      </c>
    </row>
    <row r="38" spans="1:27" x14ac:dyDescent="0.25">
      <c r="A38" t="s">
        <v>14</v>
      </c>
      <c r="B38">
        <v>15</v>
      </c>
      <c r="C38">
        <v>26</v>
      </c>
      <c r="D38">
        <v>15</v>
      </c>
      <c r="E38">
        <v>17</v>
      </c>
      <c r="F38">
        <v>9</v>
      </c>
      <c r="G38">
        <v>11</v>
      </c>
      <c r="H38">
        <v>3</v>
      </c>
      <c r="I38">
        <v>20</v>
      </c>
      <c r="J38">
        <v>21</v>
      </c>
      <c r="K38">
        <v>42</v>
      </c>
      <c r="L38">
        <v>21</v>
      </c>
      <c r="M38">
        <v>22</v>
      </c>
      <c r="N38">
        <v>35</v>
      </c>
      <c r="O38">
        <v>36</v>
      </c>
      <c r="P38">
        <v>11</v>
      </c>
      <c r="Q38">
        <v>8</v>
      </c>
      <c r="R38">
        <v>24</v>
      </c>
      <c r="S38">
        <v>13</v>
      </c>
      <c r="T38">
        <v>14</v>
      </c>
      <c r="U38">
        <v>15</v>
      </c>
      <c r="V38">
        <v>24</v>
      </c>
      <c r="W38">
        <v>25</v>
      </c>
      <c r="X38">
        <v>9</v>
      </c>
      <c r="Y38">
        <v>34</v>
      </c>
      <c r="Z38">
        <v>1</v>
      </c>
      <c r="AA38">
        <v>16</v>
      </c>
    </row>
    <row r="39" spans="1:27" x14ac:dyDescent="0.25">
      <c r="A39" t="s">
        <v>13</v>
      </c>
      <c r="B39">
        <v>22</v>
      </c>
      <c r="C39">
        <v>24</v>
      </c>
      <c r="D39">
        <v>27</v>
      </c>
      <c r="E39">
        <v>30</v>
      </c>
      <c r="F39">
        <v>36</v>
      </c>
      <c r="G39">
        <v>26</v>
      </c>
      <c r="H39">
        <v>23</v>
      </c>
      <c r="I39">
        <v>11</v>
      </c>
      <c r="J39">
        <v>36</v>
      </c>
      <c r="K39">
        <v>12</v>
      </c>
      <c r="L39">
        <v>23</v>
      </c>
      <c r="M39">
        <v>14</v>
      </c>
      <c r="N39">
        <v>17</v>
      </c>
      <c r="O39">
        <v>49</v>
      </c>
      <c r="P39">
        <v>25</v>
      </c>
      <c r="Q39">
        <v>43</v>
      </c>
      <c r="R39">
        <v>3</v>
      </c>
      <c r="S39">
        <v>18</v>
      </c>
      <c r="T39">
        <v>22</v>
      </c>
      <c r="U39">
        <v>22</v>
      </c>
      <c r="V39">
        <v>21</v>
      </c>
      <c r="W39">
        <v>28</v>
      </c>
      <c r="X39">
        <v>15</v>
      </c>
      <c r="Y39">
        <v>15</v>
      </c>
      <c r="Z39">
        <v>11</v>
      </c>
      <c r="AA39">
        <v>13</v>
      </c>
    </row>
    <row r="40" spans="1:27" x14ac:dyDescent="0.25">
      <c r="A40" t="s">
        <v>12</v>
      </c>
      <c r="B40">
        <v>19</v>
      </c>
      <c r="C40">
        <v>19</v>
      </c>
      <c r="D40">
        <v>20</v>
      </c>
      <c r="E40">
        <v>13</v>
      </c>
      <c r="F40">
        <v>15</v>
      </c>
      <c r="G40">
        <v>24</v>
      </c>
      <c r="H40">
        <v>41</v>
      </c>
      <c r="I40">
        <v>18</v>
      </c>
      <c r="J40">
        <v>49</v>
      </c>
      <c r="K40">
        <v>6</v>
      </c>
      <c r="L40">
        <v>10</v>
      </c>
      <c r="M40">
        <v>25</v>
      </c>
      <c r="N40">
        <v>36</v>
      </c>
      <c r="O40">
        <v>43</v>
      </c>
      <c r="P40">
        <v>29</v>
      </c>
      <c r="Q40">
        <v>1</v>
      </c>
      <c r="R40">
        <v>36</v>
      </c>
      <c r="S40">
        <v>11</v>
      </c>
      <c r="T40">
        <v>6</v>
      </c>
      <c r="U40">
        <v>17</v>
      </c>
      <c r="V40">
        <v>19</v>
      </c>
      <c r="W40">
        <v>26</v>
      </c>
      <c r="X40">
        <v>30</v>
      </c>
      <c r="Y40">
        <v>3</v>
      </c>
      <c r="Z40">
        <v>31</v>
      </c>
      <c r="AA40">
        <v>7</v>
      </c>
    </row>
    <row r="41" spans="1:27" x14ac:dyDescent="0.25">
      <c r="A41" t="s">
        <v>11</v>
      </c>
      <c r="B41">
        <v>34</v>
      </c>
      <c r="C41">
        <v>36</v>
      </c>
      <c r="D41">
        <v>42</v>
      </c>
      <c r="E41">
        <v>39</v>
      </c>
      <c r="F41">
        <v>25</v>
      </c>
      <c r="G41">
        <v>32</v>
      </c>
      <c r="H41">
        <v>20</v>
      </c>
      <c r="I41">
        <v>32</v>
      </c>
      <c r="J41">
        <v>12</v>
      </c>
      <c r="K41">
        <v>3</v>
      </c>
      <c r="L41">
        <v>30</v>
      </c>
      <c r="M41">
        <v>23</v>
      </c>
      <c r="N41">
        <v>30</v>
      </c>
      <c r="O41">
        <v>20</v>
      </c>
      <c r="P41">
        <v>43</v>
      </c>
      <c r="Q41">
        <v>38</v>
      </c>
      <c r="R41">
        <v>36</v>
      </c>
      <c r="S41">
        <v>36</v>
      </c>
      <c r="T41">
        <v>42</v>
      </c>
      <c r="U41">
        <v>33</v>
      </c>
      <c r="V41">
        <v>31</v>
      </c>
      <c r="W41">
        <v>35</v>
      </c>
      <c r="X41">
        <v>35</v>
      </c>
      <c r="Y41">
        <v>17</v>
      </c>
      <c r="Z41">
        <v>6</v>
      </c>
      <c r="AA41">
        <v>31</v>
      </c>
    </row>
    <row r="42" spans="1:27" x14ac:dyDescent="0.25">
      <c r="A42" t="s">
        <v>10</v>
      </c>
      <c r="B42">
        <v>42</v>
      </c>
      <c r="C42">
        <v>43</v>
      </c>
      <c r="D42">
        <v>44</v>
      </c>
      <c r="E42">
        <v>34</v>
      </c>
      <c r="F42">
        <v>50</v>
      </c>
      <c r="G42">
        <v>27</v>
      </c>
      <c r="H42">
        <v>48</v>
      </c>
      <c r="I42">
        <v>30</v>
      </c>
      <c r="J42">
        <v>47</v>
      </c>
      <c r="K42">
        <v>49</v>
      </c>
      <c r="L42">
        <v>27</v>
      </c>
      <c r="M42">
        <v>48</v>
      </c>
      <c r="N42">
        <v>9</v>
      </c>
      <c r="O42">
        <v>25</v>
      </c>
      <c r="P42">
        <v>6</v>
      </c>
      <c r="Q42">
        <v>23</v>
      </c>
      <c r="R42">
        <v>31</v>
      </c>
      <c r="S42">
        <v>21</v>
      </c>
      <c r="T42">
        <v>3</v>
      </c>
      <c r="U42">
        <v>44</v>
      </c>
      <c r="V42">
        <v>43</v>
      </c>
      <c r="W42">
        <v>47</v>
      </c>
      <c r="X42">
        <v>45</v>
      </c>
      <c r="Y42">
        <v>42</v>
      </c>
      <c r="Z42">
        <v>16</v>
      </c>
      <c r="AA42">
        <v>48</v>
      </c>
    </row>
    <row r="43" spans="1:27" x14ac:dyDescent="0.25">
      <c r="A43" t="s">
        <v>9</v>
      </c>
      <c r="B43">
        <v>40</v>
      </c>
      <c r="C43">
        <v>33</v>
      </c>
      <c r="D43">
        <v>38</v>
      </c>
      <c r="E43">
        <v>42</v>
      </c>
      <c r="F43">
        <v>38</v>
      </c>
      <c r="G43">
        <v>37</v>
      </c>
      <c r="H43">
        <v>32</v>
      </c>
      <c r="I43">
        <v>35</v>
      </c>
      <c r="J43">
        <v>18</v>
      </c>
      <c r="K43">
        <v>18</v>
      </c>
      <c r="L43">
        <v>49</v>
      </c>
      <c r="M43">
        <v>18</v>
      </c>
      <c r="N43">
        <v>8</v>
      </c>
      <c r="O43">
        <v>32</v>
      </c>
      <c r="P43">
        <v>37</v>
      </c>
      <c r="Q43">
        <v>45</v>
      </c>
      <c r="R43">
        <v>3</v>
      </c>
      <c r="S43">
        <v>38</v>
      </c>
      <c r="T43">
        <v>41</v>
      </c>
      <c r="U43">
        <v>37</v>
      </c>
      <c r="V43">
        <v>39</v>
      </c>
      <c r="W43">
        <v>41</v>
      </c>
      <c r="X43">
        <v>40</v>
      </c>
      <c r="Y43">
        <v>8</v>
      </c>
      <c r="Z43">
        <v>20</v>
      </c>
      <c r="AA43">
        <v>27</v>
      </c>
    </row>
    <row r="44" spans="1:27" x14ac:dyDescent="0.25">
      <c r="A44" t="s">
        <v>8</v>
      </c>
      <c r="B44">
        <v>20</v>
      </c>
      <c r="C44">
        <v>17</v>
      </c>
      <c r="D44">
        <v>28</v>
      </c>
      <c r="E44">
        <v>37</v>
      </c>
      <c r="F44">
        <v>47</v>
      </c>
      <c r="G44">
        <v>35</v>
      </c>
      <c r="H44">
        <v>9</v>
      </c>
      <c r="I44">
        <v>23</v>
      </c>
      <c r="J44">
        <v>2</v>
      </c>
      <c r="K44">
        <v>25</v>
      </c>
      <c r="L44">
        <v>36</v>
      </c>
      <c r="M44">
        <v>12</v>
      </c>
      <c r="N44">
        <v>1</v>
      </c>
      <c r="O44">
        <v>6</v>
      </c>
      <c r="P44">
        <v>28</v>
      </c>
      <c r="Q44">
        <v>32</v>
      </c>
      <c r="R44">
        <v>17</v>
      </c>
      <c r="S44">
        <v>41</v>
      </c>
      <c r="T44">
        <v>38</v>
      </c>
      <c r="U44">
        <v>21</v>
      </c>
      <c r="V44">
        <v>13</v>
      </c>
      <c r="W44">
        <v>21</v>
      </c>
      <c r="X44">
        <v>23</v>
      </c>
      <c r="Y44">
        <v>39</v>
      </c>
      <c r="Z44">
        <v>50</v>
      </c>
      <c r="AA44">
        <v>15</v>
      </c>
    </row>
    <row r="45" spans="1:27" x14ac:dyDescent="0.25">
      <c r="A45" t="s">
        <v>7</v>
      </c>
      <c r="B45">
        <v>9</v>
      </c>
      <c r="C45">
        <v>25</v>
      </c>
      <c r="D45">
        <v>26</v>
      </c>
      <c r="E45">
        <v>12</v>
      </c>
      <c r="F45">
        <v>21</v>
      </c>
      <c r="G45">
        <v>28</v>
      </c>
      <c r="H45">
        <v>2</v>
      </c>
      <c r="I45">
        <v>14</v>
      </c>
      <c r="J45">
        <v>7</v>
      </c>
      <c r="K45">
        <v>44</v>
      </c>
      <c r="L45">
        <v>3</v>
      </c>
      <c r="M45">
        <v>5</v>
      </c>
      <c r="N45">
        <v>14</v>
      </c>
      <c r="O45">
        <v>23</v>
      </c>
      <c r="P45">
        <v>1</v>
      </c>
      <c r="Q45">
        <v>15</v>
      </c>
      <c r="R45">
        <v>1</v>
      </c>
      <c r="S45">
        <v>5</v>
      </c>
      <c r="T45">
        <v>50</v>
      </c>
      <c r="U45">
        <v>8</v>
      </c>
      <c r="V45">
        <v>16</v>
      </c>
      <c r="W45">
        <v>23</v>
      </c>
      <c r="X45">
        <v>20</v>
      </c>
      <c r="Y45">
        <v>9</v>
      </c>
      <c r="Z45">
        <v>47</v>
      </c>
      <c r="AA45">
        <v>3</v>
      </c>
    </row>
    <row r="46" spans="1:27" x14ac:dyDescent="0.25">
      <c r="A46" t="s">
        <v>6</v>
      </c>
      <c r="B46">
        <v>14</v>
      </c>
      <c r="C46">
        <v>35</v>
      </c>
      <c r="D46">
        <v>8</v>
      </c>
      <c r="E46">
        <v>5</v>
      </c>
      <c r="F46">
        <v>6</v>
      </c>
      <c r="G46">
        <v>1</v>
      </c>
      <c r="H46">
        <v>44</v>
      </c>
      <c r="I46">
        <v>45</v>
      </c>
      <c r="J46">
        <v>9</v>
      </c>
      <c r="K46">
        <v>28</v>
      </c>
      <c r="L46">
        <v>9</v>
      </c>
      <c r="M46">
        <v>34</v>
      </c>
      <c r="N46">
        <v>36</v>
      </c>
      <c r="O46">
        <v>1</v>
      </c>
      <c r="P46">
        <v>35</v>
      </c>
      <c r="Q46">
        <v>1</v>
      </c>
      <c r="R46">
        <v>36</v>
      </c>
      <c r="S46">
        <v>19</v>
      </c>
      <c r="T46">
        <v>1</v>
      </c>
      <c r="U46">
        <v>16</v>
      </c>
      <c r="V46">
        <v>33</v>
      </c>
      <c r="W46">
        <v>17</v>
      </c>
      <c r="X46">
        <v>29</v>
      </c>
      <c r="Y46">
        <v>29</v>
      </c>
      <c r="Z46">
        <v>7</v>
      </c>
      <c r="AA46">
        <v>35</v>
      </c>
    </row>
    <row r="47" spans="1:27" x14ac:dyDescent="0.25">
      <c r="A47" t="s">
        <v>5</v>
      </c>
      <c r="B47">
        <v>7</v>
      </c>
      <c r="C47">
        <v>1</v>
      </c>
      <c r="D47">
        <v>3</v>
      </c>
      <c r="E47">
        <v>6</v>
      </c>
      <c r="F47">
        <v>12</v>
      </c>
      <c r="G47">
        <v>5</v>
      </c>
      <c r="H47">
        <v>4</v>
      </c>
      <c r="I47">
        <v>5</v>
      </c>
      <c r="J47">
        <v>27</v>
      </c>
      <c r="K47">
        <v>20</v>
      </c>
      <c r="L47">
        <v>18</v>
      </c>
      <c r="M47">
        <v>3</v>
      </c>
      <c r="N47">
        <v>23</v>
      </c>
      <c r="O47">
        <v>46</v>
      </c>
      <c r="P47">
        <v>27</v>
      </c>
      <c r="Q47">
        <v>40</v>
      </c>
      <c r="R47">
        <v>9</v>
      </c>
      <c r="S47">
        <v>7</v>
      </c>
      <c r="T47">
        <v>12</v>
      </c>
      <c r="U47">
        <v>2</v>
      </c>
      <c r="V47">
        <v>2</v>
      </c>
      <c r="W47">
        <v>18</v>
      </c>
      <c r="X47">
        <v>22</v>
      </c>
      <c r="Y47">
        <v>6</v>
      </c>
      <c r="Z47">
        <v>17</v>
      </c>
      <c r="AA47">
        <v>19</v>
      </c>
    </row>
    <row r="48" spans="1:27" x14ac:dyDescent="0.25">
      <c r="A48" t="s">
        <v>4</v>
      </c>
      <c r="B48">
        <v>4</v>
      </c>
      <c r="C48">
        <v>2</v>
      </c>
      <c r="D48">
        <v>5</v>
      </c>
      <c r="E48">
        <v>11</v>
      </c>
      <c r="F48">
        <v>13</v>
      </c>
      <c r="G48">
        <v>21</v>
      </c>
      <c r="H48">
        <v>12</v>
      </c>
      <c r="I48">
        <v>29</v>
      </c>
      <c r="J48">
        <v>3</v>
      </c>
      <c r="K48">
        <v>32</v>
      </c>
      <c r="L48">
        <v>46</v>
      </c>
      <c r="M48">
        <v>7</v>
      </c>
      <c r="N48">
        <v>26</v>
      </c>
      <c r="O48">
        <v>30</v>
      </c>
      <c r="P48">
        <v>12</v>
      </c>
      <c r="Q48">
        <v>10</v>
      </c>
      <c r="R48">
        <v>47</v>
      </c>
      <c r="S48">
        <v>3</v>
      </c>
      <c r="T48">
        <v>28</v>
      </c>
      <c r="U48">
        <v>7</v>
      </c>
      <c r="V48">
        <v>1</v>
      </c>
      <c r="W48">
        <v>1</v>
      </c>
      <c r="X48">
        <v>12</v>
      </c>
      <c r="Y48">
        <v>10</v>
      </c>
      <c r="Z48">
        <v>2</v>
      </c>
      <c r="AA48">
        <v>4</v>
      </c>
    </row>
    <row r="49" spans="1:27" x14ac:dyDescent="0.25">
      <c r="A49" t="s">
        <v>3</v>
      </c>
      <c r="B49">
        <v>49</v>
      </c>
      <c r="C49">
        <v>45</v>
      </c>
      <c r="D49">
        <v>39</v>
      </c>
      <c r="E49">
        <v>50</v>
      </c>
      <c r="F49">
        <v>34</v>
      </c>
      <c r="G49">
        <v>47</v>
      </c>
      <c r="H49">
        <v>46</v>
      </c>
      <c r="I49">
        <v>46</v>
      </c>
      <c r="J49">
        <v>35</v>
      </c>
      <c r="K49">
        <v>27</v>
      </c>
      <c r="L49">
        <v>44</v>
      </c>
      <c r="M49">
        <v>48</v>
      </c>
      <c r="N49">
        <v>36</v>
      </c>
      <c r="O49">
        <v>50</v>
      </c>
      <c r="P49">
        <v>48</v>
      </c>
      <c r="Q49">
        <v>46</v>
      </c>
      <c r="R49">
        <v>3</v>
      </c>
      <c r="S49">
        <v>46</v>
      </c>
      <c r="T49">
        <v>29</v>
      </c>
      <c r="U49">
        <v>49</v>
      </c>
      <c r="V49">
        <v>48</v>
      </c>
      <c r="W49">
        <v>45</v>
      </c>
      <c r="X49">
        <v>44</v>
      </c>
      <c r="Y49">
        <v>26</v>
      </c>
      <c r="Z49">
        <v>43</v>
      </c>
      <c r="AA49">
        <v>33</v>
      </c>
    </row>
    <row r="50" spans="1:27" x14ac:dyDescent="0.25">
      <c r="A50" t="s">
        <v>2</v>
      </c>
      <c r="B50">
        <v>30</v>
      </c>
      <c r="C50">
        <v>22</v>
      </c>
      <c r="D50">
        <v>37</v>
      </c>
      <c r="E50">
        <v>27</v>
      </c>
      <c r="F50">
        <v>42</v>
      </c>
      <c r="G50">
        <v>13</v>
      </c>
      <c r="H50">
        <v>29</v>
      </c>
      <c r="I50">
        <v>25</v>
      </c>
      <c r="J50">
        <v>39</v>
      </c>
      <c r="K50">
        <v>35</v>
      </c>
      <c r="L50">
        <v>37</v>
      </c>
      <c r="M50">
        <v>43</v>
      </c>
      <c r="N50">
        <v>20</v>
      </c>
      <c r="O50">
        <v>44</v>
      </c>
      <c r="P50">
        <v>24</v>
      </c>
      <c r="Q50">
        <v>19</v>
      </c>
      <c r="R50">
        <v>31</v>
      </c>
      <c r="S50">
        <v>12</v>
      </c>
      <c r="T50">
        <v>4</v>
      </c>
      <c r="U50">
        <v>29</v>
      </c>
      <c r="V50">
        <v>26</v>
      </c>
      <c r="W50">
        <v>37</v>
      </c>
      <c r="X50">
        <v>24</v>
      </c>
      <c r="Y50">
        <v>23</v>
      </c>
      <c r="Z50">
        <v>19</v>
      </c>
      <c r="AA50">
        <v>24</v>
      </c>
    </row>
    <row r="51" spans="1:27" x14ac:dyDescent="0.25">
      <c r="A51" t="s">
        <v>1</v>
      </c>
      <c r="B51">
        <v>45</v>
      </c>
      <c r="C51">
        <v>49</v>
      </c>
      <c r="D51">
        <v>43</v>
      </c>
      <c r="E51">
        <v>38</v>
      </c>
      <c r="F51">
        <v>14</v>
      </c>
      <c r="G51">
        <v>38</v>
      </c>
      <c r="H51">
        <v>47</v>
      </c>
      <c r="I51">
        <v>50</v>
      </c>
      <c r="J51">
        <v>34</v>
      </c>
      <c r="K51">
        <v>41</v>
      </c>
      <c r="L51">
        <v>20</v>
      </c>
      <c r="M51">
        <v>42</v>
      </c>
      <c r="N51">
        <v>36</v>
      </c>
      <c r="O51">
        <v>40</v>
      </c>
      <c r="P51">
        <v>21</v>
      </c>
      <c r="Q51">
        <v>9</v>
      </c>
      <c r="R51">
        <v>36</v>
      </c>
      <c r="S51">
        <v>31</v>
      </c>
      <c r="T51">
        <v>35</v>
      </c>
      <c r="U51">
        <v>50</v>
      </c>
      <c r="V51">
        <v>40</v>
      </c>
      <c r="W51">
        <v>5</v>
      </c>
      <c r="X51">
        <v>47</v>
      </c>
      <c r="Y51">
        <v>49</v>
      </c>
      <c r="Z51">
        <v>38</v>
      </c>
      <c r="AA51">
        <v>48</v>
      </c>
    </row>
    <row r="52" spans="1:27" x14ac:dyDescent="0.25"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52"/>
  <sheetViews>
    <sheetView topLeftCell="A17" workbookViewId="0">
      <selection activeCell="E1" sqref="A1:E51"/>
    </sheetView>
  </sheetViews>
  <sheetFormatPr defaultRowHeight="15.75" x14ac:dyDescent="0.25"/>
  <cols>
    <col min="10" max="10" width="10.375" customWidth="1"/>
  </cols>
  <sheetData>
    <row r="1" spans="1:27" x14ac:dyDescent="0.25">
      <c r="A1" t="s">
        <v>77</v>
      </c>
      <c r="B1" t="s">
        <v>76</v>
      </c>
      <c r="C1" t="s">
        <v>75</v>
      </c>
      <c r="D1" t="s">
        <v>74</v>
      </c>
      <c r="E1" t="s">
        <v>73</v>
      </c>
      <c r="F1" t="s">
        <v>72</v>
      </c>
      <c r="G1" t="s">
        <v>71</v>
      </c>
      <c r="H1" t="s">
        <v>70</v>
      </c>
      <c r="I1" t="s">
        <v>69</v>
      </c>
      <c r="J1" t="s">
        <v>68</v>
      </c>
      <c r="K1" t="s">
        <v>67</v>
      </c>
      <c r="L1" t="s">
        <v>66</v>
      </c>
      <c r="M1" t="s">
        <v>65</v>
      </c>
      <c r="N1" t="s">
        <v>64</v>
      </c>
      <c r="O1" t="s">
        <v>63</v>
      </c>
      <c r="P1" t="s">
        <v>62</v>
      </c>
      <c r="Q1" t="s">
        <v>61</v>
      </c>
      <c r="R1" t="s">
        <v>60</v>
      </c>
      <c r="S1" t="s">
        <v>59</v>
      </c>
      <c r="T1" t="s">
        <v>58</v>
      </c>
      <c r="U1" t="s">
        <v>57</v>
      </c>
      <c r="V1" t="s">
        <v>56</v>
      </c>
      <c r="W1" t="s">
        <v>55</v>
      </c>
      <c r="X1" t="s">
        <v>54</v>
      </c>
      <c r="Y1" t="s">
        <v>53</v>
      </c>
      <c r="Z1" t="s">
        <v>52</v>
      </c>
      <c r="AA1" t="s">
        <v>51</v>
      </c>
    </row>
    <row r="2" spans="1:27" x14ac:dyDescent="0.25">
      <c r="A2" t="s">
        <v>50</v>
      </c>
      <c r="B2" s="7">
        <v>50.368928178231378</v>
      </c>
      <c r="C2" s="3">
        <v>1.4021048015786013E-2</v>
      </c>
      <c r="D2" s="3">
        <v>0.27399144924358693</v>
      </c>
      <c r="E2" s="2">
        <v>0.34977055102026822</v>
      </c>
      <c r="F2" s="7">
        <v>14.686447353822258</v>
      </c>
      <c r="G2" s="7">
        <v>13.512180189904372</v>
      </c>
      <c r="H2" s="3">
        <v>0.93175717110533507</v>
      </c>
      <c r="I2" s="3">
        <v>8.511685834583943E-2</v>
      </c>
      <c r="J2" s="6">
        <v>32695.307859058568</v>
      </c>
      <c r="K2" s="3">
        <v>3.4221809488055956E-2</v>
      </c>
      <c r="L2" s="3">
        <v>0.26999412068911355</v>
      </c>
      <c r="M2" s="5">
        <v>6.6209380545035617E-5</v>
      </c>
      <c r="N2" s="2">
        <v>4.0348551232645828</v>
      </c>
      <c r="O2" s="1">
        <v>2.4716505000000003E-3</v>
      </c>
      <c r="P2" s="4">
        <v>3.9293895360356657E-2</v>
      </c>
      <c r="Q2" s="2">
        <v>3.0833573465274746</v>
      </c>
      <c r="R2" s="7">
        <v>80</v>
      </c>
      <c r="S2" s="7">
        <v>3.5965894303160457</v>
      </c>
      <c r="T2" s="2">
        <v>3.9182953058219736</v>
      </c>
      <c r="U2" s="3">
        <v>4.5139313185027521E-2</v>
      </c>
      <c r="V2" s="3">
        <v>3.0018636263977199E-2</v>
      </c>
      <c r="W2" s="8">
        <v>0.34377134950729249</v>
      </c>
      <c r="X2" s="3">
        <v>2.0121157486614576E-2</v>
      </c>
      <c r="Y2" s="3">
        <v>1.3501072148232571E-2</v>
      </c>
      <c r="Z2" s="2">
        <v>5.5959718209183222</v>
      </c>
      <c r="AA2" s="1">
        <v>1.3337856636570769E-4</v>
      </c>
    </row>
    <row r="3" spans="1:27" x14ac:dyDescent="0.25">
      <c r="A3" t="s">
        <v>49</v>
      </c>
      <c r="B3" s="7">
        <v>56.809417269961884</v>
      </c>
      <c r="C3" s="3">
        <v>1.5334170065892688E-2</v>
      </c>
      <c r="D3" s="3">
        <v>0.31481016630059616</v>
      </c>
      <c r="E3" s="2">
        <v>0.42849552512516303</v>
      </c>
      <c r="F3" s="7">
        <v>14.719268204758471</v>
      </c>
      <c r="G3" s="7">
        <v>13.962532175032175</v>
      </c>
      <c r="H3" s="3">
        <v>0.79627185410837176</v>
      </c>
      <c r="I3" s="3">
        <v>7.4686938664168701E-2</v>
      </c>
      <c r="J3" s="6">
        <v>19335.730964323699</v>
      </c>
      <c r="K3" s="3">
        <v>3.1195258320735247E-2</v>
      </c>
      <c r="L3" s="3">
        <v>0.46460361571930076</v>
      </c>
      <c r="M3" s="5">
        <v>3.0372980196816912E-5</v>
      </c>
      <c r="N3" s="2">
        <v>4.0348551232645828</v>
      </c>
      <c r="O3" s="1">
        <v>4.2172289999999994E-3</v>
      </c>
      <c r="P3" s="4">
        <v>4.6212273979969076E-2</v>
      </c>
      <c r="Q3" s="2">
        <v>4.6315597808229576</v>
      </c>
      <c r="R3" s="7">
        <v>80</v>
      </c>
      <c r="S3" s="7">
        <v>4.2799837326357046</v>
      </c>
      <c r="T3" s="2">
        <v>3.9262850609194411</v>
      </c>
      <c r="U3" s="3">
        <v>3.8318916003679579E-2</v>
      </c>
      <c r="V3" s="3">
        <v>3.7088170693442106E-2</v>
      </c>
      <c r="W3" s="8">
        <v>0.40200827311597276</v>
      </c>
      <c r="X3" s="3">
        <v>7.037993400564011E-3</v>
      </c>
      <c r="Y3" s="3">
        <v>5.876532601177876E-3</v>
      </c>
      <c r="Z3" s="2">
        <v>4.4680497141014426</v>
      </c>
      <c r="AA3" s="1">
        <v>0</v>
      </c>
    </row>
    <row r="4" spans="1:27" x14ac:dyDescent="0.25">
      <c r="A4" t="s">
        <v>48</v>
      </c>
      <c r="B4" s="7">
        <v>67.06697796775245</v>
      </c>
      <c r="C4" s="3">
        <v>2.2363875841844977E-2</v>
      </c>
      <c r="D4" s="3">
        <v>0.31108294606393466</v>
      </c>
      <c r="E4" s="2">
        <v>0.41089791901064932</v>
      </c>
      <c r="F4" s="7">
        <v>12.169419161457762</v>
      </c>
      <c r="G4" s="7">
        <v>13.301236756114468</v>
      </c>
      <c r="H4" s="3">
        <v>1.0949757942169669</v>
      </c>
      <c r="I4" s="3">
        <v>0.1022943273340091</v>
      </c>
      <c r="J4" s="6">
        <v>40347.020801128499</v>
      </c>
      <c r="K4" s="3">
        <v>2.396098039596941E-2</v>
      </c>
      <c r="L4" s="3">
        <v>0.41610628891809298</v>
      </c>
      <c r="M4" s="5">
        <v>1.4680694886224616E-4</v>
      </c>
      <c r="N4" s="2">
        <v>5.478919049666076</v>
      </c>
      <c r="O4" s="1">
        <v>4.3119795000000002E-3</v>
      </c>
      <c r="P4" s="4">
        <v>9.6809701094330763E-2</v>
      </c>
      <c r="Q4" s="2">
        <v>2.105521117511616</v>
      </c>
      <c r="R4" s="7">
        <v>80</v>
      </c>
      <c r="S4" s="7">
        <v>4.7763391073582673</v>
      </c>
      <c r="T4" s="2">
        <v>5.3244215928821435</v>
      </c>
      <c r="U4" s="3">
        <v>5.1117942846991594E-2</v>
      </c>
      <c r="V4" s="3">
        <v>3.3619954107540775E-2</v>
      </c>
      <c r="W4" s="8">
        <v>0.95097168933654541</v>
      </c>
      <c r="X4" s="3">
        <v>3.5955713226965669E-2</v>
      </c>
      <c r="Y4" s="3">
        <v>5.7415340399641348E-3</v>
      </c>
      <c r="Z4" s="2">
        <v>5.4487519223464185</v>
      </c>
      <c r="AA4" s="1">
        <v>9.3653164231425712E-4</v>
      </c>
    </row>
    <row r="5" spans="1:27" x14ac:dyDescent="0.25">
      <c r="A5" t="s">
        <v>47</v>
      </c>
      <c r="B5" s="7">
        <v>44.243250803165836</v>
      </c>
      <c r="C5" s="3">
        <v>1.2530518952052778E-2</v>
      </c>
      <c r="D5" s="3">
        <v>0.26586552613807551</v>
      </c>
      <c r="E5" s="2">
        <v>0.31237240828118862</v>
      </c>
      <c r="F5" s="7">
        <v>13.572361597757533</v>
      </c>
      <c r="G5" s="7">
        <v>12.064206580125335</v>
      </c>
      <c r="H5" s="3">
        <v>0.90993703762192912</v>
      </c>
      <c r="I5" s="3">
        <v>0.10263754845866167</v>
      </c>
      <c r="J5" s="6">
        <v>25240.979627142606</v>
      </c>
      <c r="K5" s="3">
        <v>2.3525696592071398E-2</v>
      </c>
      <c r="L5" s="3">
        <v>0.36651662163256754</v>
      </c>
      <c r="M5" s="5">
        <v>0</v>
      </c>
      <c r="N5" s="2">
        <v>4.0348551232645828</v>
      </c>
      <c r="O5" s="1">
        <v>3.1004424999999999E-3</v>
      </c>
      <c r="P5" s="4">
        <v>3.1416710131082749E-2</v>
      </c>
      <c r="Q5" s="2">
        <v>3.758508117050066</v>
      </c>
      <c r="R5" s="7">
        <v>93.333333333333329</v>
      </c>
      <c r="S5" s="7">
        <v>3.1148244750795606</v>
      </c>
      <c r="T5" s="2">
        <v>4.7880368627098431</v>
      </c>
      <c r="U5" s="3">
        <v>2.9480234989156199E-2</v>
      </c>
      <c r="V5" s="3">
        <v>1.661356513307129E-2</v>
      </c>
      <c r="W5" s="8">
        <v>0.28356281192404115</v>
      </c>
      <c r="X5" s="3">
        <v>9.2781727001887051E-3</v>
      </c>
      <c r="Y5" s="3">
        <v>3.0886487015210056E-3</v>
      </c>
      <c r="Z5" s="2">
        <v>4.8265921413639612</v>
      </c>
      <c r="AA5" s="1">
        <v>4.784333993054716E-5</v>
      </c>
    </row>
    <row r="6" spans="1:27" x14ac:dyDescent="0.25">
      <c r="A6" t="s">
        <v>46</v>
      </c>
      <c r="B6" s="7">
        <v>83.670902811606808</v>
      </c>
      <c r="C6" s="3">
        <v>2.1601090072939526E-2</v>
      </c>
      <c r="D6" s="3">
        <v>0.33189826638412767</v>
      </c>
      <c r="E6" s="2">
        <v>0.44408640123739573</v>
      </c>
      <c r="F6" s="7">
        <v>13.031787559662646</v>
      </c>
      <c r="G6" s="7">
        <v>14.241967130583395</v>
      </c>
      <c r="H6" s="3">
        <v>0.99748577003405847</v>
      </c>
      <c r="I6" s="3">
        <v>0.12891297667317031</v>
      </c>
      <c r="J6" s="6">
        <v>48821.496994467088</v>
      </c>
      <c r="K6" s="3">
        <v>2.8570930566973921E-2</v>
      </c>
      <c r="L6" s="3">
        <v>0.26826620488423669</v>
      </c>
      <c r="M6" s="5">
        <v>3.5556315120196277E-4</v>
      </c>
      <c r="N6" s="2">
        <v>7.5111452955652727</v>
      </c>
      <c r="O6" s="1">
        <v>4.246695E-3</v>
      </c>
      <c r="P6" s="4">
        <v>0.14664026850426384</v>
      </c>
      <c r="Q6" s="2">
        <v>5.5589101717769775</v>
      </c>
      <c r="R6" s="7">
        <v>96.666666666666671</v>
      </c>
      <c r="S6" s="7">
        <v>5.1594549736825916</v>
      </c>
      <c r="T6" s="2">
        <v>4.8013969406716512</v>
      </c>
      <c r="U6" s="3">
        <v>7.298616399354857E-2</v>
      </c>
      <c r="V6" s="3">
        <v>4.4559108422127812E-2</v>
      </c>
      <c r="W6" s="8">
        <v>1.8641687997947114</v>
      </c>
      <c r="X6" s="3">
        <v>5.0132322475089718E-2</v>
      </c>
      <c r="Y6" s="3">
        <v>8.5829882060197028E-3</v>
      </c>
      <c r="Z6" s="2">
        <v>4.9220434841842842</v>
      </c>
      <c r="AA6" s="1">
        <v>8.1593936034275241E-3</v>
      </c>
    </row>
    <row r="7" spans="1:27" x14ac:dyDescent="0.25">
      <c r="A7" t="s">
        <v>45</v>
      </c>
      <c r="B7" s="7">
        <v>81.401625095369496</v>
      </c>
      <c r="C7" s="3">
        <v>2.6659359614762641E-2</v>
      </c>
      <c r="D7" s="3">
        <v>0.33430660868940237</v>
      </c>
      <c r="E7" s="2">
        <v>0.53033309005781126</v>
      </c>
      <c r="F7" s="7">
        <v>13.751643192488263</v>
      </c>
      <c r="G7" s="7">
        <v>14.362123085348248</v>
      </c>
      <c r="H7" s="3">
        <v>0.97552101904546817</v>
      </c>
      <c r="I7" s="3">
        <v>0.11637033089482099</v>
      </c>
      <c r="J7" s="6">
        <v>29271.667175800503</v>
      </c>
      <c r="K7" s="3">
        <v>2.5404543723110601E-2</v>
      </c>
      <c r="L7" s="3">
        <v>0.42622815903092182</v>
      </c>
      <c r="M7" s="5">
        <v>1.7882689556509299E-4</v>
      </c>
      <c r="N7" s="2">
        <v>6.8354851151138156</v>
      </c>
      <c r="O7" s="1">
        <v>3.9733124999999994E-3</v>
      </c>
      <c r="P7" s="4">
        <v>0.10586283800599719</v>
      </c>
      <c r="Q7" s="2">
        <v>5.489130318240921</v>
      </c>
      <c r="R7" s="7">
        <v>93.333333333333329</v>
      </c>
      <c r="S7" s="7">
        <v>5.7962975644690493</v>
      </c>
      <c r="T7" s="2">
        <v>5.7296886494070787</v>
      </c>
      <c r="U7" s="3">
        <v>7.8428936021284049E-2</v>
      </c>
      <c r="V7" s="3">
        <v>4.7983972400905593E-2</v>
      </c>
      <c r="W7" s="8">
        <v>1.4991720808891753</v>
      </c>
      <c r="X7" s="3">
        <v>2.7611705424458548E-2</v>
      </c>
      <c r="Y7" s="3">
        <v>8.9900711573640563E-3</v>
      </c>
      <c r="Z7" s="2">
        <v>4.6249878826457538</v>
      </c>
      <c r="AA7" s="1">
        <v>2.4756279011703681E-3</v>
      </c>
    </row>
    <row r="8" spans="1:27" x14ac:dyDescent="0.25">
      <c r="A8" t="s">
        <v>44</v>
      </c>
      <c r="B8" s="7">
        <v>77.621847611400369</v>
      </c>
      <c r="C8" s="3">
        <v>2.1119077883772878E-2</v>
      </c>
      <c r="D8" s="3">
        <v>0.35269217953622689</v>
      </c>
      <c r="E8" s="2">
        <v>0.52461126584534123</v>
      </c>
      <c r="F8" s="7">
        <v>12.962577797076277</v>
      </c>
      <c r="G8" s="7">
        <v>14.611744828998566</v>
      </c>
      <c r="H8" s="3">
        <v>1.0882730464770427</v>
      </c>
      <c r="I8" s="3">
        <v>0.1544582816620963</v>
      </c>
      <c r="J8" s="6">
        <v>37640.943948570442</v>
      </c>
      <c r="K8" s="3">
        <v>4.6055788552757444E-2</v>
      </c>
      <c r="L8" s="3">
        <v>0.22161351807509783</v>
      </c>
      <c r="M8" s="5">
        <v>2.4743288383026105E-4</v>
      </c>
      <c r="N8" s="2">
        <v>5.3782243663784461</v>
      </c>
      <c r="O8" s="1">
        <v>3.269723E-3</v>
      </c>
      <c r="P8" s="4">
        <v>0.11361948348671226</v>
      </c>
      <c r="Q8" s="2">
        <v>8.4767081625918621</v>
      </c>
      <c r="R8" s="7">
        <v>80</v>
      </c>
      <c r="S8" s="7">
        <v>6.3395877950522301</v>
      </c>
      <c r="T8" s="2">
        <v>4.9234756259690036</v>
      </c>
      <c r="U8" s="3">
        <v>5.4881764776666148E-2</v>
      </c>
      <c r="V8" s="3">
        <v>3.3693277881304683E-2</v>
      </c>
      <c r="W8" s="8">
        <v>1.4376214545368715</v>
      </c>
      <c r="X8" s="3">
        <v>4.3363539936780673E-2</v>
      </c>
      <c r="Y8" s="3">
        <v>4.29038116622317E-3</v>
      </c>
      <c r="Z8" s="2">
        <v>5.4448857926115242</v>
      </c>
      <c r="AA8" s="1">
        <v>7.1222247376813365E-4</v>
      </c>
    </row>
    <row r="9" spans="1:27" x14ac:dyDescent="0.25">
      <c r="A9" t="s">
        <v>43</v>
      </c>
      <c r="B9" s="7">
        <v>85.05792017183704</v>
      </c>
      <c r="C9" s="3">
        <v>2.9722735674676527E-2</v>
      </c>
      <c r="D9" s="3">
        <v>0.3294886013555145</v>
      </c>
      <c r="E9" s="2">
        <v>0.42488134727422039</v>
      </c>
      <c r="F9" s="7">
        <v>14.653946742748454</v>
      </c>
      <c r="G9" s="7">
        <v>14.156275456328254</v>
      </c>
      <c r="H9" s="3">
        <v>1.0969190495706296</v>
      </c>
      <c r="I9" s="3">
        <v>0.1666315395859537</v>
      </c>
      <c r="J9" s="6">
        <v>80300.582145933047</v>
      </c>
      <c r="K9" s="3">
        <v>5.5697603134018149E-2</v>
      </c>
      <c r="L9" s="3">
        <v>0.37961184437792628</v>
      </c>
      <c r="M9" s="5">
        <v>2.0326236089232176E-4</v>
      </c>
      <c r="N9" s="2">
        <v>4.0348551232645828</v>
      </c>
      <c r="O9" s="1">
        <v>2.7164405000000003E-3</v>
      </c>
      <c r="P9" s="4">
        <v>7.2934589097069777E-2</v>
      </c>
      <c r="Q9" s="2">
        <v>4.3793601603915295</v>
      </c>
      <c r="R9" s="7">
        <v>86.666666666666671</v>
      </c>
      <c r="S9" s="7">
        <v>6.1151354035453123</v>
      </c>
      <c r="T9" s="2">
        <v>4.9970899470891972</v>
      </c>
      <c r="U9" s="3">
        <v>5.5117951900976653E-2</v>
      </c>
      <c r="V9" s="3">
        <v>4.155268022181146E-2</v>
      </c>
      <c r="W9" s="8">
        <v>1.9413288592835021</v>
      </c>
      <c r="X9" s="3">
        <v>0.1014600188666952</v>
      </c>
      <c r="Y9" s="3">
        <v>2.8905014841431025E-3</v>
      </c>
      <c r="Z9" s="2">
        <v>4.7090107728994814</v>
      </c>
      <c r="AA9" s="1">
        <v>2.3398549072489247E-4</v>
      </c>
    </row>
    <row r="10" spans="1:27" x14ac:dyDescent="0.25">
      <c r="A10" t="s">
        <v>42</v>
      </c>
      <c r="B10" s="7">
        <v>61.603751473216327</v>
      </c>
      <c r="C10" s="3">
        <v>1.6130797308165551E-2</v>
      </c>
      <c r="D10" s="3">
        <v>0.28127745279322502</v>
      </c>
      <c r="E10" s="2">
        <v>0.39654888750507544</v>
      </c>
      <c r="F10" s="7">
        <v>11.85783476039718</v>
      </c>
      <c r="G10" s="7">
        <v>13.006326948617795</v>
      </c>
      <c r="H10" s="3">
        <v>0.88991897387127339</v>
      </c>
      <c r="I10" s="3">
        <v>0.10650250597076952</v>
      </c>
      <c r="J10" s="6">
        <v>85953.249069033802</v>
      </c>
      <c r="K10" s="3">
        <v>2.3031019192097716E-2</v>
      </c>
      <c r="L10" s="3">
        <v>0.43240621653967115</v>
      </c>
      <c r="M10" s="5">
        <v>1.1226424508532082E-4</v>
      </c>
      <c r="N10" s="2">
        <v>5.1156185409824184</v>
      </c>
      <c r="O10" s="1">
        <v>3.7292524999999999E-3</v>
      </c>
      <c r="P10" s="4">
        <v>9.9889634344124151E-2</v>
      </c>
      <c r="Q10" s="2">
        <v>5.4812749701245753</v>
      </c>
      <c r="R10" s="7">
        <v>73.333333333333343</v>
      </c>
      <c r="S10" s="7">
        <v>5.3073391054450161</v>
      </c>
      <c r="T10" s="2">
        <v>4.6249601686726072</v>
      </c>
      <c r="U10" s="3">
        <v>4.1415191005260588E-2</v>
      </c>
      <c r="V10" s="3">
        <v>2.3356681812245234E-2</v>
      </c>
      <c r="W10" s="8">
        <v>1.0456870864491288</v>
      </c>
      <c r="X10" s="3">
        <v>2.5625346120883012E-2</v>
      </c>
      <c r="Y10" s="3">
        <v>3.8520456753140006E-3</v>
      </c>
      <c r="Z10" s="2">
        <v>4.8816082361794741</v>
      </c>
      <c r="AA10" s="1">
        <v>2.5132097997501024E-4</v>
      </c>
    </row>
    <row r="11" spans="1:27" x14ac:dyDescent="0.25">
      <c r="A11" t="s">
        <v>41</v>
      </c>
      <c r="B11" s="7">
        <v>64.271691467456449</v>
      </c>
      <c r="C11" s="3">
        <v>1.8604230604922514E-2</v>
      </c>
      <c r="D11" s="3">
        <v>0.30717095659056542</v>
      </c>
      <c r="E11" s="2">
        <v>0.4072936026801427</v>
      </c>
      <c r="F11" s="7">
        <v>12.088980409617097</v>
      </c>
      <c r="G11" s="7">
        <v>13.102621942097423</v>
      </c>
      <c r="H11" s="3">
        <v>1.0403200387550615</v>
      </c>
      <c r="I11" s="3">
        <v>0.11341553552416009</v>
      </c>
      <c r="J11" s="6">
        <v>52650.863085580473</v>
      </c>
      <c r="K11" s="3">
        <v>3.5666636086509607E-2</v>
      </c>
      <c r="L11" s="3">
        <v>0.4106159564738997</v>
      </c>
      <c r="M11" s="5">
        <v>1.674057975270933E-4</v>
      </c>
      <c r="N11" s="2">
        <v>5.0519529314468787</v>
      </c>
      <c r="O11" s="1">
        <v>3.0872220000000001E-3</v>
      </c>
      <c r="P11" s="4">
        <v>6.6102845143281519E-2</v>
      </c>
      <c r="Q11" s="2">
        <v>3.8361433187024705</v>
      </c>
      <c r="R11" s="7">
        <v>90</v>
      </c>
      <c r="S11" s="7">
        <v>4.6542203231565207</v>
      </c>
      <c r="T11" s="2">
        <v>4.7900014368846877</v>
      </c>
      <c r="U11" s="3">
        <v>4.9612294469017527E-2</v>
      </c>
      <c r="V11" s="3">
        <v>2.7530906584406361E-2</v>
      </c>
      <c r="W11" s="8">
        <v>1.1944400681420784</v>
      </c>
      <c r="X11" s="3">
        <v>2.0325752908742643E-2</v>
      </c>
      <c r="Y11" s="3">
        <v>4.4875133298613694E-3</v>
      </c>
      <c r="Z11" s="2">
        <v>4.8023655306071005</v>
      </c>
      <c r="AA11" s="1">
        <v>7.0484213718486374E-4</v>
      </c>
    </row>
    <row r="12" spans="1:27" x14ac:dyDescent="0.25">
      <c r="A12" t="s">
        <v>40</v>
      </c>
      <c r="B12" s="7">
        <v>48.448535706797472</v>
      </c>
      <c r="C12" s="3">
        <v>1.1880110844766326E-2</v>
      </c>
      <c r="D12" s="3">
        <v>0.29038948674793014</v>
      </c>
      <c r="E12" s="2">
        <v>0.44585574005991929</v>
      </c>
      <c r="F12" s="7">
        <v>13.410734144572487</v>
      </c>
      <c r="G12" s="7">
        <v>14.178733214942206</v>
      </c>
      <c r="H12" s="3">
        <v>0.61079619244338279</v>
      </c>
      <c r="I12" s="3">
        <v>7.5711069213193566E-2</v>
      </c>
      <c r="J12" s="6">
        <v>15240.179179630388</v>
      </c>
      <c r="K12" s="3">
        <v>3.0989289544422625E-2</v>
      </c>
      <c r="L12" s="3">
        <v>0.3150259581319339</v>
      </c>
      <c r="M12" s="5">
        <v>5.9094669660796596E-5</v>
      </c>
      <c r="N12" s="2">
        <v>4.0348551232645828</v>
      </c>
      <c r="O12" s="1">
        <v>2.9089405000000002E-3</v>
      </c>
      <c r="P12" s="4">
        <v>5.0710991146321951E-2</v>
      </c>
      <c r="Q12" s="2">
        <v>4.6315597808229576</v>
      </c>
      <c r="R12" s="7">
        <v>86.666666666666671</v>
      </c>
      <c r="S12" s="7">
        <v>4.1278669531783185</v>
      </c>
      <c r="T12" s="2">
        <v>3.8376090044587694</v>
      </c>
      <c r="U12" s="3">
        <v>2.9676446323439062E-2</v>
      </c>
      <c r="V12" s="3">
        <v>2.0944900630727122E-2</v>
      </c>
      <c r="W12" s="8">
        <v>0.70522720610831624</v>
      </c>
      <c r="X12" s="3">
        <v>1.7374831060285836E-2</v>
      </c>
      <c r="Y12" s="3">
        <v>6.6200399396332257E-3</v>
      </c>
      <c r="Z12" s="2">
        <v>4.5764416804966377</v>
      </c>
      <c r="AA12" s="1">
        <v>1.0348211210616694E-5</v>
      </c>
    </row>
    <row r="13" spans="1:27" x14ac:dyDescent="0.25">
      <c r="A13" t="s">
        <v>39</v>
      </c>
      <c r="B13" s="7">
        <v>62.299533379582236</v>
      </c>
      <c r="C13" s="3">
        <v>1.4919637785277509E-2</v>
      </c>
      <c r="D13" s="3">
        <v>0.30034751227988105</v>
      </c>
      <c r="E13" s="2">
        <v>0.3882796069455936</v>
      </c>
      <c r="F13" s="7">
        <v>10.775509147393857</v>
      </c>
      <c r="G13" s="7">
        <v>13.929107282693813</v>
      </c>
      <c r="H13" s="3">
        <v>1.0371756022528078</v>
      </c>
      <c r="I13" s="3">
        <v>7.7838440689395799E-2</v>
      </c>
      <c r="J13" s="6">
        <v>48915.441592323565</v>
      </c>
      <c r="K13" s="3">
        <v>1.5062458620391198E-2</v>
      </c>
      <c r="L13" s="3">
        <v>0.44020529004400855</v>
      </c>
      <c r="M13" s="5">
        <v>6.8194217130387337E-5</v>
      </c>
      <c r="N13" s="2">
        <v>4.9400834688798536</v>
      </c>
      <c r="O13" s="1">
        <v>3.9747834999999997E-3</v>
      </c>
      <c r="P13" s="4">
        <v>9.0629439794810751E-2</v>
      </c>
      <c r="Q13" s="2">
        <v>6.3893313456043765</v>
      </c>
      <c r="R13" s="7">
        <v>73.333333333333343</v>
      </c>
      <c r="S13" s="7">
        <v>4.4037674291480622</v>
      </c>
      <c r="T13" s="2">
        <v>5.136981258358241</v>
      </c>
      <c r="U13" s="3">
        <v>5.1794331093548009E-2</v>
      </c>
      <c r="V13" s="3">
        <v>2.658134794667023E-2</v>
      </c>
      <c r="W13" s="8">
        <v>1.3520158211842572</v>
      </c>
      <c r="X13" s="3">
        <v>3.8532617223627136E-2</v>
      </c>
      <c r="Y13" s="3">
        <v>1.1775884221421179E-2</v>
      </c>
      <c r="Z13" s="2">
        <v>5.6749198746289355</v>
      </c>
      <c r="AA13" s="1">
        <v>2.7534463288336449E-4</v>
      </c>
    </row>
    <row r="14" spans="1:27" x14ac:dyDescent="0.25">
      <c r="A14" t="s">
        <v>38</v>
      </c>
      <c r="B14" s="7">
        <v>67.10866885983242</v>
      </c>
      <c r="C14" s="3">
        <v>1.9636785244489197E-2</v>
      </c>
      <c r="D14" s="3">
        <v>0.32144186755638443</v>
      </c>
      <c r="E14" s="2">
        <v>0.45024628763409297</v>
      </c>
      <c r="F14" s="7">
        <v>13.716337282643648</v>
      </c>
      <c r="G14" s="7">
        <v>13.980473173140224</v>
      </c>
      <c r="H14" s="3">
        <v>0.99621018323112442</v>
      </c>
      <c r="I14" s="3">
        <v>0.13116930645685299</v>
      </c>
      <c r="J14" s="6">
        <v>50531.823329641891</v>
      </c>
      <c r="K14" s="3">
        <v>3.580880792571841E-2</v>
      </c>
      <c r="L14" s="3">
        <v>0.31028392017718232</v>
      </c>
      <c r="M14" s="5">
        <v>1.2420547923599831E-4</v>
      </c>
      <c r="N14" s="2">
        <v>5.4951458729999114</v>
      </c>
      <c r="O14" s="1">
        <v>2.0688460000000001E-3</v>
      </c>
      <c r="P14" s="4">
        <v>6.2973787038149695E-2</v>
      </c>
      <c r="Q14" s="2">
        <v>6.133089266175892</v>
      </c>
      <c r="R14" s="7">
        <v>86.666666666666671</v>
      </c>
      <c r="S14" s="7">
        <v>5.0742043237006902</v>
      </c>
      <c r="T14" s="2">
        <v>5.3135494887553731</v>
      </c>
      <c r="U14" s="3">
        <v>4.7825247768372707E-2</v>
      </c>
      <c r="V14" s="3">
        <v>2.9159117420763943E-2</v>
      </c>
      <c r="W14" s="8">
        <v>0.97660624127138462</v>
      </c>
      <c r="X14" s="3">
        <v>3.4621754586073937E-2</v>
      </c>
      <c r="Y14" s="3">
        <v>5.5712421574720854E-3</v>
      </c>
      <c r="Z14" s="2">
        <v>5.3478979291606477</v>
      </c>
      <c r="AA14" s="1">
        <v>1.0073516754632013E-3</v>
      </c>
    </row>
    <row r="15" spans="1:27" x14ac:dyDescent="0.25">
      <c r="A15" t="s">
        <v>37</v>
      </c>
      <c r="B15" s="7">
        <v>54.638803677357082</v>
      </c>
      <c r="C15" s="3">
        <v>1.2877322256678711E-2</v>
      </c>
      <c r="D15" s="3">
        <v>0.26610998890437848</v>
      </c>
      <c r="E15" s="2">
        <v>0.35079601397073346</v>
      </c>
      <c r="F15" s="7">
        <v>13.133512888037666</v>
      </c>
      <c r="G15" s="7">
        <v>13.033991761842351</v>
      </c>
      <c r="H15" s="3">
        <v>1.0203036818047051</v>
      </c>
      <c r="I15" s="3">
        <v>7.4495017691762269E-2</v>
      </c>
      <c r="J15" s="6">
        <v>29714.673708944425</v>
      </c>
      <c r="K15" s="3">
        <v>3.9589514925984823E-2</v>
      </c>
      <c r="L15" s="3">
        <v>0.32081730043348683</v>
      </c>
      <c r="M15" s="5">
        <v>7.6603491316768951E-5</v>
      </c>
      <c r="N15" s="2">
        <v>5.6162269453746374</v>
      </c>
      <c r="O15" s="1">
        <v>2.3029925E-3</v>
      </c>
      <c r="P15" s="4">
        <v>5.4663215497169335E-2</v>
      </c>
      <c r="Q15" s="2">
        <v>4.1852721562605195</v>
      </c>
      <c r="R15" s="7">
        <v>93.333333333333329</v>
      </c>
      <c r="S15" s="7">
        <v>4.8700046779637178</v>
      </c>
      <c r="T15" s="2">
        <v>5.2226459413236803</v>
      </c>
      <c r="U15" s="3">
        <v>3.9754499898177288E-2</v>
      </c>
      <c r="V15" s="3">
        <v>2.4364135537284132E-2</v>
      </c>
      <c r="W15" s="8">
        <v>0.63413558506211187</v>
      </c>
      <c r="X15" s="3">
        <v>3.1318456342940865E-2</v>
      </c>
      <c r="Y15" s="3">
        <v>5.0656884056615422E-3</v>
      </c>
      <c r="Z15" s="2">
        <v>4.5086289310865411</v>
      </c>
      <c r="AA15" s="1">
        <v>3.3772928533851095E-4</v>
      </c>
    </row>
    <row r="16" spans="1:27" x14ac:dyDescent="0.25">
      <c r="A16" t="s">
        <v>36</v>
      </c>
      <c r="B16" s="7">
        <v>54.818016389432401</v>
      </c>
      <c r="C16" s="3">
        <v>1.7285856099650516E-2</v>
      </c>
      <c r="D16" s="3">
        <v>0.28119858030651235</v>
      </c>
      <c r="E16" s="2">
        <v>0.39618624118983226</v>
      </c>
      <c r="F16" s="7">
        <v>14.119701187824795</v>
      </c>
      <c r="G16" s="7">
        <v>13.060839092529733</v>
      </c>
      <c r="H16" s="3">
        <v>0.96413863316006188</v>
      </c>
      <c r="I16" s="3">
        <v>0.10148590677983531</v>
      </c>
      <c r="J16" s="6">
        <v>30812.014738505561</v>
      </c>
      <c r="K16" s="3">
        <v>2.4593052462679291E-2</v>
      </c>
      <c r="L16" s="3">
        <v>0.29773131715610013</v>
      </c>
      <c r="M16" s="5">
        <v>1.5772373111258321E-5</v>
      </c>
      <c r="N16" s="2">
        <v>4.7012116908159181</v>
      </c>
      <c r="O16" s="1">
        <v>2.2434675E-3</v>
      </c>
      <c r="P16" s="4">
        <v>6.1695531488388744E-2</v>
      </c>
      <c r="Q16" s="2">
        <v>6.265023195009424</v>
      </c>
      <c r="R16" s="7">
        <v>90</v>
      </c>
      <c r="S16" s="7">
        <v>4.6623623325039425</v>
      </c>
      <c r="T16" s="2">
        <v>5.7395139542134617</v>
      </c>
      <c r="U16" s="3">
        <v>3.5668037685850765E-2</v>
      </c>
      <c r="V16" s="3">
        <v>2.4151107605695093E-2</v>
      </c>
      <c r="W16" s="8">
        <v>0.58893782732701461</v>
      </c>
      <c r="X16" s="3">
        <v>3.0509229781383956E-2</v>
      </c>
      <c r="Y16" s="3">
        <v>5.7962609528539504E-3</v>
      </c>
      <c r="Z16" s="2">
        <v>4.9103048581497362</v>
      </c>
      <c r="AA16" s="1">
        <v>3.701963835544906E-5</v>
      </c>
    </row>
    <row r="17" spans="1:27" x14ac:dyDescent="0.25">
      <c r="A17" t="s">
        <v>35</v>
      </c>
      <c r="B17" s="7">
        <v>57.341901396311336</v>
      </c>
      <c r="C17" s="3">
        <v>1.7268267571086817E-2</v>
      </c>
      <c r="D17" s="3">
        <v>0.28321170093571146</v>
      </c>
      <c r="E17" s="2">
        <v>0.44026029613186601</v>
      </c>
      <c r="F17" s="7">
        <v>13.920666994226753</v>
      </c>
      <c r="G17" s="7">
        <v>13.370109338391163</v>
      </c>
      <c r="H17" s="3">
        <v>0.93724164486482986</v>
      </c>
      <c r="I17" s="3">
        <v>9.4173504758920529E-2</v>
      </c>
      <c r="J17" s="6">
        <v>25848.330881629445</v>
      </c>
      <c r="K17" s="3">
        <v>3.1641746082573037E-2</v>
      </c>
      <c r="L17" s="3">
        <v>0.3133433441476019</v>
      </c>
      <c r="M17" s="5">
        <v>1.014027378739226E-4</v>
      </c>
      <c r="N17" s="2">
        <v>5.7042944562001967</v>
      </c>
      <c r="O17" s="1">
        <v>2.5117569999999999E-3</v>
      </c>
      <c r="P17" s="4">
        <v>5.723498360869405E-2</v>
      </c>
      <c r="Q17" s="2">
        <v>4.2862438323841978</v>
      </c>
      <c r="R17" s="7">
        <v>83.333333333333329</v>
      </c>
      <c r="S17" s="7">
        <v>4.9835580676667552</v>
      </c>
      <c r="T17" s="2">
        <v>5.1013535724826982</v>
      </c>
      <c r="U17" s="3">
        <v>4.5134970556609443E-2</v>
      </c>
      <c r="V17" s="3">
        <v>2.7110650152923719E-2</v>
      </c>
      <c r="W17" s="8">
        <v>1.0592969499168281</v>
      </c>
      <c r="X17" s="3">
        <v>1.6222652441644468E-2</v>
      </c>
      <c r="Y17" s="3">
        <v>4.0579183654044452E-3</v>
      </c>
      <c r="Z17" s="2">
        <v>4.5541804118856861</v>
      </c>
      <c r="AA17" s="1">
        <v>3.8023767494904859E-4</v>
      </c>
    </row>
    <row r="18" spans="1:27" x14ac:dyDescent="0.25">
      <c r="A18" t="s">
        <v>34</v>
      </c>
      <c r="B18" s="7">
        <v>48.405309395625714</v>
      </c>
      <c r="C18" s="3">
        <v>1.2583085422864428E-2</v>
      </c>
      <c r="D18" s="3">
        <v>0.27336449922085282</v>
      </c>
      <c r="E18" s="2">
        <v>0.33013494302939128</v>
      </c>
      <c r="F18" s="7">
        <v>12.98559798697454</v>
      </c>
      <c r="G18" s="7">
        <v>12.498766036996276</v>
      </c>
      <c r="H18" s="3">
        <v>0.88022387457962481</v>
      </c>
      <c r="I18" s="3">
        <v>8.8382284441088838E-2</v>
      </c>
      <c r="J18" s="6">
        <v>43475.021735403243</v>
      </c>
      <c r="K18" s="3">
        <v>3.8347513317650503E-2</v>
      </c>
      <c r="L18" s="3">
        <v>0.32116825056473064</v>
      </c>
      <c r="M18" s="5">
        <v>2.8747197148278044E-5</v>
      </c>
      <c r="N18" s="2">
        <v>4.0348551232645828</v>
      </c>
      <c r="O18" s="1">
        <v>3.7269015000000001E-3</v>
      </c>
      <c r="P18" s="4">
        <v>3.3012279842556815E-2</v>
      </c>
      <c r="Q18" s="2">
        <v>2.8040083625054812</v>
      </c>
      <c r="R18" s="7">
        <v>93.333333333333329</v>
      </c>
      <c r="S18" s="7">
        <v>3.7650164510550486</v>
      </c>
      <c r="T18" s="2">
        <v>3.9480292691729812</v>
      </c>
      <c r="U18" s="3">
        <v>3.4095613840845133E-2</v>
      </c>
      <c r="V18" s="3">
        <v>1.8938093214336309E-2</v>
      </c>
      <c r="W18" s="8">
        <v>0.47109173427872769</v>
      </c>
      <c r="X18" s="3">
        <v>1.7236446446492436E-2</v>
      </c>
      <c r="Y18" s="3">
        <v>3.8609475996234702E-3</v>
      </c>
      <c r="Z18" s="2">
        <v>4.5938248647955051</v>
      </c>
      <c r="AA18" s="1">
        <v>1.5079012089072583E-4</v>
      </c>
    </row>
    <row r="19" spans="1:27" x14ac:dyDescent="0.25">
      <c r="A19" t="s">
        <v>33</v>
      </c>
      <c r="B19" s="7">
        <v>47.033003129510988</v>
      </c>
      <c r="C19" s="3">
        <v>8.9438553481674971E-3</v>
      </c>
      <c r="D19" s="3">
        <v>0.26501303386664238</v>
      </c>
      <c r="E19" s="2">
        <v>0.32032516742305689</v>
      </c>
      <c r="F19" s="7">
        <v>11.646130611394646</v>
      </c>
      <c r="G19" s="7">
        <v>12.634862603665121</v>
      </c>
      <c r="H19" s="3">
        <v>1.1246589224015866</v>
      </c>
      <c r="I19" s="3">
        <v>0.10370420745261887</v>
      </c>
      <c r="J19" s="6">
        <v>80577.485376028868</v>
      </c>
      <c r="K19" s="3">
        <v>2.2156121417083986E-2</v>
      </c>
      <c r="L19" s="3">
        <v>0.29894605415458708</v>
      </c>
      <c r="M19" s="5">
        <v>1.8450411444175206E-5</v>
      </c>
      <c r="N19" s="2">
        <v>4.5593920616600476</v>
      </c>
      <c r="O19" s="1">
        <v>3.6657529999999999E-3</v>
      </c>
      <c r="P19" s="4">
        <v>5.7034879689341934E-2</v>
      </c>
      <c r="Q19" s="2">
        <v>3.254108876187209</v>
      </c>
      <c r="R19" s="7">
        <v>90</v>
      </c>
      <c r="S19" s="7">
        <v>3.900518670225404</v>
      </c>
      <c r="T19" s="2">
        <v>3.8433712685852162</v>
      </c>
      <c r="U19" s="3">
        <v>2.4436227839352898E-2</v>
      </c>
      <c r="V19" s="3">
        <v>1.9012851874253965E-2</v>
      </c>
      <c r="W19" s="8">
        <v>0.45345833526847601</v>
      </c>
      <c r="X19" s="3">
        <v>8.5864324788638615E-3</v>
      </c>
      <c r="Y19" s="3">
        <v>3.3435501777154316E-3</v>
      </c>
      <c r="Z19" s="2">
        <v>4.1207570027215263</v>
      </c>
      <c r="AA19" s="1">
        <v>5.7005477899639011E-5</v>
      </c>
    </row>
    <row r="20" spans="1:27" x14ac:dyDescent="0.25">
      <c r="A20" t="s">
        <v>32</v>
      </c>
      <c r="B20" s="7">
        <v>58.325140001291778</v>
      </c>
      <c r="C20" s="3">
        <v>1.2887405138441946E-2</v>
      </c>
      <c r="D20" s="3">
        <v>0.30269656347335272</v>
      </c>
      <c r="E20" s="2">
        <v>0.40963821135206657</v>
      </c>
      <c r="F20" s="7">
        <v>13.453227045716481</v>
      </c>
      <c r="G20" s="7">
        <v>14.18636094148337</v>
      </c>
      <c r="H20" s="3">
        <v>0.91820686960577258</v>
      </c>
      <c r="I20" s="3">
        <v>8.3765153435196874E-2</v>
      </c>
      <c r="J20" s="6">
        <v>24495.606766404326</v>
      </c>
      <c r="K20" s="3">
        <v>3.8073980865640039E-2</v>
      </c>
      <c r="L20" s="3">
        <v>0.3961201717923834</v>
      </c>
      <c r="M20" s="5">
        <v>4.4414177005300091E-5</v>
      </c>
      <c r="N20" s="2">
        <v>4.0348551232645828</v>
      </c>
      <c r="O20" s="1">
        <v>3.5550170000000002E-3</v>
      </c>
      <c r="P20" s="4">
        <v>5.043001974483597E-2</v>
      </c>
      <c r="Q20" s="2">
        <v>8.4767081625918621</v>
      </c>
      <c r="R20" s="7">
        <v>80</v>
      </c>
      <c r="S20" s="7">
        <v>4.9853127674047411</v>
      </c>
      <c r="T20" s="2">
        <v>5.0409703048583827</v>
      </c>
      <c r="U20" s="3">
        <v>3.0592095978049256E-2</v>
      </c>
      <c r="V20" s="3">
        <v>1.8464662456333568E-2</v>
      </c>
      <c r="W20" s="8">
        <v>0.79224298564684081</v>
      </c>
      <c r="X20" s="3">
        <v>1.3009836351243651E-2</v>
      </c>
      <c r="Y20" s="3">
        <v>4.7078778071594904E-3</v>
      </c>
      <c r="Z20" s="2">
        <v>5.9005909817979436</v>
      </c>
      <c r="AA20" s="1">
        <v>2.3998454153628844E-4</v>
      </c>
    </row>
    <row r="21" spans="1:27" x14ac:dyDescent="0.25">
      <c r="A21" t="s">
        <v>31</v>
      </c>
      <c r="B21" s="7">
        <v>81.500119060780847</v>
      </c>
      <c r="C21" s="3">
        <v>2.8960281676677236E-2</v>
      </c>
      <c r="D21" s="3">
        <v>0.371333662593401</v>
      </c>
      <c r="E21" s="2">
        <v>0.52645594875300061</v>
      </c>
      <c r="F21" s="7">
        <v>13.654852058762673</v>
      </c>
      <c r="G21" s="7">
        <v>14.618316836934957</v>
      </c>
      <c r="H21" s="3">
        <v>1.0853985140740412</v>
      </c>
      <c r="I21" s="3">
        <v>0.1073731487363053</v>
      </c>
      <c r="J21" s="6">
        <v>42005.410055782289</v>
      </c>
      <c r="K21" s="3">
        <v>3.0521895482036199E-2</v>
      </c>
      <c r="L21" s="3">
        <v>0.35161784433088006</v>
      </c>
      <c r="M21" s="5">
        <v>3.233375829129945E-4</v>
      </c>
      <c r="N21" s="2">
        <v>5.6540929255201267</v>
      </c>
      <c r="O21" s="1">
        <v>2.7166180000000001E-3</v>
      </c>
      <c r="P21" s="4">
        <v>8.5817098710451512E-2</v>
      </c>
      <c r="Q21" s="2">
        <v>4.3793601603915295</v>
      </c>
      <c r="R21" s="7">
        <v>86.666666666666671</v>
      </c>
      <c r="S21" s="7">
        <v>6.1178668028790515</v>
      </c>
      <c r="T21" s="2">
        <v>3.9911233104857979</v>
      </c>
      <c r="U21" s="3">
        <v>7.7130784350963461E-2</v>
      </c>
      <c r="V21" s="3">
        <v>5.0213886277821147E-2</v>
      </c>
      <c r="W21" s="8">
        <v>1.1797894197332772</v>
      </c>
      <c r="X21" s="3">
        <v>2.8885791391530257E-2</v>
      </c>
      <c r="Y21" s="3">
        <v>4.7894088611176451E-2</v>
      </c>
      <c r="Z21" s="2">
        <v>5.0703002458092046</v>
      </c>
      <c r="AA21" s="1">
        <v>1.2244240761430992E-3</v>
      </c>
    </row>
    <row r="22" spans="1:27" x14ac:dyDescent="0.25">
      <c r="A22" t="s">
        <v>30</v>
      </c>
      <c r="B22" s="7">
        <v>94.67324894994124</v>
      </c>
      <c r="C22" s="3">
        <v>2.9132313995902662E-2</v>
      </c>
      <c r="D22" s="3">
        <v>0.38583358317093891</v>
      </c>
      <c r="E22" s="2">
        <v>0.55204748750660859</v>
      </c>
      <c r="F22" s="7">
        <v>12.464411608408124</v>
      </c>
      <c r="G22" s="7">
        <v>14.925372934687067</v>
      </c>
      <c r="H22" s="3">
        <v>1.0364570859297644</v>
      </c>
      <c r="I22" s="3">
        <v>0.12768721532142988</v>
      </c>
      <c r="J22" s="6">
        <v>45285.440957665334</v>
      </c>
      <c r="K22" s="3">
        <v>4.4394087752078197E-2</v>
      </c>
      <c r="L22" s="3">
        <v>0.30272078293661042</v>
      </c>
      <c r="M22" s="5">
        <v>4.0755134419166559E-4</v>
      </c>
      <c r="N22" s="2">
        <v>7.4620492533344027</v>
      </c>
      <c r="O22" s="1">
        <v>2.6714134999999998E-3</v>
      </c>
      <c r="P22" s="4">
        <v>0.14598773139759549</v>
      </c>
      <c r="Q22" s="2">
        <v>8.4767081625918621</v>
      </c>
      <c r="R22" s="7">
        <v>90</v>
      </c>
      <c r="S22" s="7">
        <v>6.833857928444619</v>
      </c>
      <c r="T22" s="2">
        <v>6.1350895982622609</v>
      </c>
      <c r="U22" s="3">
        <v>8.9541812179295202E-2</v>
      </c>
      <c r="V22" s="3">
        <v>5.2871883275870682E-2</v>
      </c>
      <c r="W22" s="8">
        <v>1.5193772340705931</v>
      </c>
      <c r="X22" s="3">
        <v>4.2593070062817547E-2</v>
      </c>
      <c r="Y22" s="3">
        <v>1.6348229172731748E-2</v>
      </c>
      <c r="Z22" s="2">
        <v>4.3329402138408213</v>
      </c>
      <c r="AA22" s="1">
        <v>8.5529690095140533E-3</v>
      </c>
    </row>
    <row r="23" spans="1:27" x14ac:dyDescent="0.25">
      <c r="A23" t="s">
        <v>29</v>
      </c>
      <c r="B23" s="7">
        <v>66.953225681499646</v>
      </c>
      <c r="C23" s="3">
        <v>1.7796290057476544E-2</v>
      </c>
      <c r="D23" s="3">
        <v>0.30873224913989361</v>
      </c>
      <c r="E23" s="2">
        <v>0.39412924870465532</v>
      </c>
      <c r="F23" s="7">
        <v>14.017386423935671</v>
      </c>
      <c r="G23" s="7">
        <v>13.493301880695405</v>
      </c>
      <c r="H23" s="3">
        <v>0.97859042552782161</v>
      </c>
      <c r="I23" s="3">
        <v>9.0444269500805252E-2</v>
      </c>
      <c r="J23" s="6">
        <v>44123.79395183194</v>
      </c>
      <c r="K23" s="3">
        <v>3.3841844382425428E-2</v>
      </c>
      <c r="L23" s="3">
        <v>0.3327836310339321</v>
      </c>
      <c r="M23" s="5">
        <v>4.3018153660844879E-5</v>
      </c>
      <c r="N23" s="2">
        <v>4.4473776852071714</v>
      </c>
      <c r="O23" s="1">
        <v>2.0151570000000001E-3</v>
      </c>
      <c r="P23" s="4">
        <v>8.310155349026524E-2</v>
      </c>
      <c r="Q23" s="2">
        <v>4.8061241996019826</v>
      </c>
      <c r="R23" s="7">
        <v>100</v>
      </c>
      <c r="S23" s="7">
        <v>5.5776960647570162</v>
      </c>
      <c r="T23" s="2">
        <v>5.7164600298433577</v>
      </c>
      <c r="U23" s="3">
        <v>5.0935870522454234E-2</v>
      </c>
      <c r="V23" s="3">
        <v>3.8305615958674058E-2</v>
      </c>
      <c r="W23" s="8">
        <v>1.4631194416329181</v>
      </c>
      <c r="X23" s="3">
        <v>5.4994899204019669E-2</v>
      </c>
      <c r="Y23" s="3">
        <v>6.9626843589750548E-3</v>
      </c>
      <c r="Z23" s="2">
        <v>4.8818668217271926</v>
      </c>
      <c r="AA23" s="1">
        <v>6.3114124482390377E-4</v>
      </c>
    </row>
    <row r="24" spans="1:27" x14ac:dyDescent="0.25">
      <c r="A24" t="s">
        <v>28</v>
      </c>
      <c r="B24" s="7">
        <v>71.666926837444237</v>
      </c>
      <c r="C24" s="3">
        <v>2.4147044235188993E-2</v>
      </c>
      <c r="D24" s="3">
        <v>0.3266808273793973</v>
      </c>
      <c r="E24" s="2">
        <v>0.47956450111421417</v>
      </c>
      <c r="F24" s="7">
        <v>13.19381163544907</v>
      </c>
      <c r="G24" s="7">
        <v>13.97448072776989</v>
      </c>
      <c r="H24" s="3">
        <v>1.0241589295090778</v>
      </c>
      <c r="I24" s="3">
        <v>0.13749736259318146</v>
      </c>
      <c r="J24" s="6">
        <v>31117.424538943029</v>
      </c>
      <c r="K24" s="3">
        <v>2.6663577212778754E-2</v>
      </c>
      <c r="L24" s="3">
        <v>0.33658814323945929</v>
      </c>
      <c r="M24" s="5">
        <v>1.0621394036724532E-4</v>
      </c>
      <c r="N24" s="2">
        <v>4.7681035950360391</v>
      </c>
      <c r="O24" s="1">
        <v>1.8747025E-3</v>
      </c>
      <c r="P24" s="4">
        <v>0.10444005423157525</v>
      </c>
      <c r="Q24" s="2">
        <v>5.9468566101612303</v>
      </c>
      <c r="R24" s="7">
        <v>96.666666666666671</v>
      </c>
      <c r="S24" s="7">
        <v>6.1197168104875201</v>
      </c>
      <c r="T24" s="2">
        <v>6.6142338927035658</v>
      </c>
      <c r="U24" s="3">
        <v>5.6900135508379163E-2</v>
      </c>
      <c r="V24" s="3">
        <v>3.5819409263529348E-2</v>
      </c>
      <c r="W24" s="8">
        <v>1.1788240898828795</v>
      </c>
      <c r="X24" s="3">
        <v>3.5560015740616242E-2</v>
      </c>
      <c r="Y24" s="3">
        <v>4.2430167804071023E-3</v>
      </c>
      <c r="Z24" s="2">
        <v>5.0568136983324008</v>
      </c>
      <c r="AA24" s="1">
        <v>1.0028735152447441E-3</v>
      </c>
    </row>
    <row r="25" spans="1:27" x14ac:dyDescent="0.25">
      <c r="A25" t="s">
        <v>27</v>
      </c>
      <c r="B25" s="7">
        <v>37.981586091750117</v>
      </c>
      <c r="C25" s="3">
        <v>7.1907221265804042E-3</v>
      </c>
      <c r="D25" s="3">
        <v>0.25476203698561672</v>
      </c>
      <c r="E25" s="2">
        <v>0.32478655500510473</v>
      </c>
      <c r="F25" s="7">
        <v>10.465820674323824</v>
      </c>
      <c r="G25" s="7">
        <v>12.691918806030969</v>
      </c>
      <c r="H25" s="3">
        <v>0.8693707917798843</v>
      </c>
      <c r="I25" s="3">
        <v>6.6510157148332694E-2</v>
      </c>
      <c r="J25" s="6">
        <v>37809.591092583534</v>
      </c>
      <c r="K25" s="3">
        <v>1.7912465572437291E-2</v>
      </c>
      <c r="L25" s="3">
        <v>0.29150583453446377</v>
      </c>
      <c r="M25" s="5">
        <v>6.5483596359112046E-5</v>
      </c>
      <c r="N25" s="2">
        <v>4.0348551232645828</v>
      </c>
      <c r="O25" s="1">
        <v>3.4356524999999997E-3</v>
      </c>
      <c r="P25" s="4">
        <v>2.5268965037533921E-2</v>
      </c>
      <c r="Q25" s="2">
        <v>2.4082065760048819</v>
      </c>
      <c r="R25" s="7">
        <v>90</v>
      </c>
      <c r="S25" s="7">
        <v>2.8433710996019745</v>
      </c>
      <c r="T25" s="2">
        <v>5.3558572136118201</v>
      </c>
      <c r="U25" s="3">
        <v>2.6792823556020626E-2</v>
      </c>
      <c r="V25" s="3">
        <v>1.3226337905629292E-2</v>
      </c>
      <c r="W25" s="8">
        <v>0.22682292768825546</v>
      </c>
      <c r="X25" s="3">
        <v>6.0642591178603697E-3</v>
      </c>
      <c r="Y25" s="3">
        <v>6.4643485546711354E-3</v>
      </c>
      <c r="Z25" s="2">
        <v>4.6093134660211081</v>
      </c>
      <c r="AA25" s="1">
        <v>9.730751518899541E-5</v>
      </c>
    </row>
    <row r="26" spans="1:27" x14ac:dyDescent="0.25">
      <c r="A26" t="s">
        <v>26</v>
      </c>
      <c r="B26" s="7">
        <v>56.785159199846724</v>
      </c>
      <c r="C26" s="3">
        <v>2.3595212420996887E-2</v>
      </c>
      <c r="D26" s="3">
        <v>0.30651864415885427</v>
      </c>
      <c r="E26" s="2">
        <v>0.38584233782288235</v>
      </c>
      <c r="F26" s="7">
        <v>13.909219691633405</v>
      </c>
      <c r="G26" s="7">
        <v>12.844266543318584</v>
      </c>
      <c r="H26" s="3">
        <v>0.97351254797216147</v>
      </c>
      <c r="I26" s="3">
        <v>0.11200588850162504</v>
      </c>
      <c r="J26" s="6">
        <v>23837.496119472802</v>
      </c>
      <c r="K26" s="3">
        <v>2.485720478902342E-2</v>
      </c>
      <c r="L26" s="3">
        <v>0.27316223722976773</v>
      </c>
      <c r="M26" s="5">
        <v>3.8189965374431392E-5</v>
      </c>
      <c r="N26" s="2">
        <v>4.4980777258580495</v>
      </c>
      <c r="O26" s="1">
        <v>3.7298844999999999E-3</v>
      </c>
      <c r="P26" s="4">
        <v>4.7410264389015244E-2</v>
      </c>
      <c r="Q26" s="2">
        <v>2.9359422913390141</v>
      </c>
      <c r="R26" s="7">
        <v>93.333333333333329</v>
      </c>
      <c r="S26" s="7">
        <v>4.47209160898724</v>
      </c>
      <c r="T26" s="2">
        <v>5.3409269366694305</v>
      </c>
      <c r="U26" s="3">
        <v>4.4967359728143044E-2</v>
      </c>
      <c r="V26" s="3">
        <v>2.9394721997306122E-2</v>
      </c>
      <c r="W26" s="8">
        <v>0.7279705249481474</v>
      </c>
      <c r="X26" s="3">
        <v>2.4505609480942714E-2</v>
      </c>
      <c r="Y26" s="3">
        <v>4.7472163559120085E-3</v>
      </c>
      <c r="Z26" s="2">
        <v>4.7557216058782528</v>
      </c>
      <c r="AA26" s="1">
        <v>9.1067218606177201E-5</v>
      </c>
    </row>
    <row r="27" spans="1:27" x14ac:dyDescent="0.25">
      <c r="A27" t="s">
        <v>25</v>
      </c>
      <c r="B27" s="7">
        <v>54.417860679935835</v>
      </c>
      <c r="C27" s="3">
        <v>1.1223923400712337E-2</v>
      </c>
      <c r="D27" s="3">
        <v>0.28426384199084137</v>
      </c>
      <c r="E27" s="2">
        <v>0.42978639136828928</v>
      </c>
      <c r="F27" s="7">
        <v>12.884695512820514</v>
      </c>
      <c r="G27" s="7">
        <v>13.803717845659165</v>
      </c>
      <c r="H27" s="3">
        <v>0.94196546134071224</v>
      </c>
      <c r="I27" s="3">
        <v>6.4065041793006039E-2</v>
      </c>
      <c r="J27" s="6">
        <v>24744.386666782102</v>
      </c>
      <c r="K27" s="3">
        <v>9.6641930557227872E-3</v>
      </c>
      <c r="L27" s="3">
        <v>0.42150839428798847</v>
      </c>
      <c r="M27" s="5">
        <v>4.7834683334396327E-5</v>
      </c>
      <c r="N27" s="2">
        <v>4.0348551232645828</v>
      </c>
      <c r="O27" s="1">
        <v>4.3126119999999995E-3</v>
      </c>
      <c r="P27" s="4">
        <v>7.2870772093857547E-2</v>
      </c>
      <c r="Q27" s="2">
        <v>6.5910451279739659</v>
      </c>
      <c r="R27" s="7">
        <v>83.333333333333329</v>
      </c>
      <c r="S27" s="7">
        <v>3.6606370938615482</v>
      </c>
      <c r="T27" s="2">
        <v>4.885751907520528</v>
      </c>
      <c r="U27" s="3">
        <v>2.8704451687481581E-2</v>
      </c>
      <c r="V27" s="3">
        <v>2.2457097923123177E-2</v>
      </c>
      <c r="W27" s="8">
        <v>1.1728917648185953</v>
      </c>
      <c r="X27" s="3">
        <v>1.7663337129960561E-2</v>
      </c>
      <c r="Y27" s="3">
        <v>6.7406951286261632E-3</v>
      </c>
      <c r="Z27" s="2">
        <v>5.9661384406334603</v>
      </c>
      <c r="AA27" s="1">
        <v>1.4386300462108069E-4</v>
      </c>
    </row>
    <row r="28" spans="1:27" x14ac:dyDescent="0.25">
      <c r="A28" t="s">
        <v>24</v>
      </c>
      <c r="B28" s="7">
        <v>55.967366505096351</v>
      </c>
      <c r="C28" s="3">
        <v>2.0639900309347092E-2</v>
      </c>
      <c r="D28" s="3">
        <v>0.28205240317873265</v>
      </c>
      <c r="E28" s="2">
        <v>0.42768678308537189</v>
      </c>
      <c r="F28" s="7">
        <v>13.039435640811787</v>
      </c>
      <c r="G28" s="7">
        <v>13.507029975092331</v>
      </c>
      <c r="H28" s="3">
        <v>1.0558146781159103</v>
      </c>
      <c r="I28" s="3">
        <v>0.12440834649988473</v>
      </c>
      <c r="J28" s="6">
        <v>34063.762300793707</v>
      </c>
      <c r="K28" s="3">
        <v>2.0575550597699572E-2</v>
      </c>
      <c r="L28" s="3">
        <v>0.2926077439066358</v>
      </c>
      <c r="M28" s="5">
        <v>2.3824272168485253E-5</v>
      </c>
      <c r="N28" s="2">
        <v>4.7661266399797473</v>
      </c>
      <c r="O28" s="1">
        <v>2.2200825000000001E-3</v>
      </c>
      <c r="P28" s="4">
        <v>7.9050056792387177E-2</v>
      </c>
      <c r="Q28" s="2">
        <v>5.8382591557989709</v>
      </c>
      <c r="R28" s="7">
        <v>93.333333333333329</v>
      </c>
      <c r="S28" s="7">
        <v>4.9994597701970518</v>
      </c>
      <c r="T28" s="2">
        <v>4.2707769085579557</v>
      </c>
      <c r="U28" s="3">
        <v>3.7903788851350227E-2</v>
      </c>
      <c r="V28" s="3">
        <v>2.7600756424690925E-2</v>
      </c>
      <c r="W28" s="8">
        <v>0.52205986259252302</v>
      </c>
      <c r="X28" s="3">
        <v>1.7072919010108378E-2</v>
      </c>
      <c r="Y28" s="3">
        <v>4.5310973443467451E-3</v>
      </c>
      <c r="Z28" s="2">
        <v>4.7228418584879952</v>
      </c>
      <c r="AA28" s="1">
        <v>1.2709431130651826E-4</v>
      </c>
    </row>
    <row r="29" spans="1:27" x14ac:dyDescent="0.25">
      <c r="A29" t="s">
        <v>23</v>
      </c>
      <c r="B29" s="7">
        <v>58.65586766505556</v>
      </c>
      <c r="C29" s="3">
        <v>1.0902622520316547E-2</v>
      </c>
      <c r="D29" s="3">
        <v>0.22656055928173463</v>
      </c>
      <c r="E29" s="2">
        <v>0.34364091442007727</v>
      </c>
      <c r="F29" s="7">
        <v>12.20220463238419</v>
      </c>
      <c r="G29" s="7">
        <v>12.655990421407393</v>
      </c>
      <c r="H29" s="3">
        <v>1.1281943916590507</v>
      </c>
      <c r="I29" s="3">
        <v>7.9681650775606433E-2</v>
      </c>
      <c r="J29" s="6">
        <v>121881.69210092071</v>
      </c>
      <c r="K29" s="3">
        <v>2.5170829934946088E-2</v>
      </c>
      <c r="L29" s="3">
        <v>0.37930606083031393</v>
      </c>
      <c r="M29" s="5">
        <v>1.0559216083797938E-4</v>
      </c>
      <c r="N29" s="2">
        <v>4.901741828449552</v>
      </c>
      <c r="O29" s="1">
        <v>3.9171860000000005E-3</v>
      </c>
      <c r="P29" s="4">
        <v>9.1275408137696801E-2</v>
      </c>
      <c r="Q29" s="2">
        <v>2.105521117511616</v>
      </c>
      <c r="R29" s="7">
        <v>80</v>
      </c>
      <c r="S29" s="7">
        <v>5.1456865804991443</v>
      </c>
      <c r="T29" s="2">
        <v>4.4578228678875949</v>
      </c>
      <c r="U29" s="3">
        <v>2.7597801781816624E-2</v>
      </c>
      <c r="V29" s="3">
        <v>1.5499130558217111E-2</v>
      </c>
      <c r="W29" s="8">
        <v>2.0058647485397447</v>
      </c>
      <c r="X29" s="3">
        <v>3.0411112569585279E-2</v>
      </c>
      <c r="Y29" s="3">
        <v>1.8253954417218753E-3</v>
      </c>
      <c r="Z29" s="2">
        <v>5.0676140830258296</v>
      </c>
      <c r="AA29" s="1">
        <v>6.728409232639489E-5</v>
      </c>
    </row>
    <row r="30" spans="1:27" x14ac:dyDescent="0.25">
      <c r="A30" t="s">
        <v>22</v>
      </c>
      <c r="B30" s="7">
        <v>74.597615053199902</v>
      </c>
      <c r="C30" s="3">
        <v>1.8532421537105645E-2</v>
      </c>
      <c r="D30" s="3">
        <v>0.31282335852197612</v>
      </c>
      <c r="E30" s="2">
        <v>0.49040274687106949</v>
      </c>
      <c r="F30" s="7">
        <v>14.582347475998761</v>
      </c>
      <c r="G30" s="7">
        <v>14.041574715737065</v>
      </c>
      <c r="H30" s="3">
        <v>0.90157021764590606</v>
      </c>
      <c r="I30" s="3">
        <v>0.1105183462798798</v>
      </c>
      <c r="J30" s="6">
        <v>21579.528848226004</v>
      </c>
      <c r="K30" s="3">
        <v>4.7394733170058073E-2</v>
      </c>
      <c r="L30" s="3">
        <v>0.36802158177245231</v>
      </c>
      <c r="M30" s="5">
        <v>6.4464141821112008E-5</v>
      </c>
      <c r="N30" s="2">
        <v>4.8127386415797222</v>
      </c>
      <c r="O30" s="1">
        <v>3.0104304999999999E-3</v>
      </c>
      <c r="P30" s="4">
        <v>0.11301962676585847</v>
      </c>
      <c r="Q30" s="2">
        <v>8.4767081625918621</v>
      </c>
      <c r="R30" s="7">
        <v>80</v>
      </c>
      <c r="S30" s="7">
        <v>6.8007922153001958</v>
      </c>
      <c r="T30" s="2">
        <v>5.5988363264880476</v>
      </c>
      <c r="U30" s="3">
        <v>7.185036376285954E-2</v>
      </c>
      <c r="V30" s="3">
        <v>3.4176037603433927E-2</v>
      </c>
      <c r="W30" s="8">
        <v>0.74875630303909146</v>
      </c>
      <c r="X30" s="3">
        <v>4.0326485587737354E-2</v>
      </c>
      <c r="Y30" s="3">
        <v>5.5490622363553767E-3</v>
      </c>
      <c r="Z30" s="2">
        <v>5.9672409641450788</v>
      </c>
      <c r="AA30" s="1">
        <v>9.3506766356255596E-4</v>
      </c>
    </row>
    <row r="31" spans="1:27" x14ac:dyDescent="0.25">
      <c r="A31" t="s">
        <v>21</v>
      </c>
      <c r="B31" s="7">
        <v>75.428129583894062</v>
      </c>
      <c r="C31" s="3">
        <v>2.4419830667524223E-2</v>
      </c>
      <c r="D31" s="3">
        <v>0.3294101831447761</v>
      </c>
      <c r="E31" s="2">
        <v>0.49364947683652732</v>
      </c>
      <c r="F31" s="7">
        <v>13.27455738358192</v>
      </c>
      <c r="G31" s="7">
        <v>13.887238956904703</v>
      </c>
      <c r="H31" s="3">
        <v>0.89247254584642843</v>
      </c>
      <c r="I31" s="3">
        <v>0.12449617774892877</v>
      </c>
      <c r="J31" s="6">
        <v>55412.514177726109</v>
      </c>
      <c r="K31" s="3">
        <v>4.5040554231309843E-2</v>
      </c>
      <c r="L31" s="3">
        <v>0.30852071282879678</v>
      </c>
      <c r="M31" s="5">
        <v>1.7550923488297664E-4</v>
      </c>
      <c r="N31" s="2">
        <v>6.1359452460850887</v>
      </c>
      <c r="O31" s="1">
        <v>2.3589500000000003E-3</v>
      </c>
      <c r="P31" s="4">
        <v>0.10017980299767415</v>
      </c>
      <c r="Q31" s="2">
        <v>7.7860762657143425</v>
      </c>
      <c r="R31" s="7">
        <v>83.333333333333329</v>
      </c>
      <c r="S31" s="7">
        <v>6.2034394178783074</v>
      </c>
      <c r="T31" s="2">
        <v>4.4066076130792222</v>
      </c>
      <c r="U31" s="3">
        <v>6.5044369297958177E-2</v>
      </c>
      <c r="V31" s="3">
        <v>3.5419324567970221E-2</v>
      </c>
      <c r="W31" s="8">
        <v>1.6637287544607804</v>
      </c>
      <c r="X31" s="3">
        <v>4.0230886415245325E-2</v>
      </c>
      <c r="Y31" s="3">
        <v>4.0717957897453616E-3</v>
      </c>
      <c r="Z31" s="2">
        <v>5.1762867829498624</v>
      </c>
      <c r="AA31" s="1">
        <v>8.5620776602942684E-4</v>
      </c>
    </row>
    <row r="32" spans="1:27" x14ac:dyDescent="0.25">
      <c r="A32" t="s">
        <v>20</v>
      </c>
      <c r="B32" s="7">
        <v>58.717983658822838</v>
      </c>
      <c r="C32" s="3">
        <v>1.4876075775980151E-2</v>
      </c>
      <c r="D32" s="3">
        <v>0.30721319101646294</v>
      </c>
      <c r="E32" s="2">
        <v>0.40398568729646483</v>
      </c>
      <c r="F32" s="7">
        <v>12.147960967084183</v>
      </c>
      <c r="G32" s="7">
        <v>13.722858306425808</v>
      </c>
      <c r="H32" s="3">
        <v>1.459713368254945</v>
      </c>
      <c r="I32" s="3">
        <v>6.6220209187481463E-2</v>
      </c>
      <c r="J32" s="6">
        <v>36797.226466449181</v>
      </c>
      <c r="K32" s="3">
        <v>1.5355436475955248E-2</v>
      </c>
      <c r="L32" s="3">
        <v>0.34228517607885878</v>
      </c>
      <c r="M32" s="5">
        <v>1.4023278642546627E-5</v>
      </c>
      <c r="N32" s="2">
        <v>4.0348551232645828</v>
      </c>
      <c r="O32" s="1">
        <v>3.8643935E-3</v>
      </c>
      <c r="P32" s="4">
        <v>8.0441726607467803E-2</v>
      </c>
      <c r="Q32" s="2">
        <v>2.0124047895042847</v>
      </c>
      <c r="R32" s="7">
        <v>86.666666666666671</v>
      </c>
      <c r="S32" s="7">
        <v>3.2438074637209708</v>
      </c>
      <c r="T32" s="2">
        <v>3.8968140143646091</v>
      </c>
      <c r="U32" s="3">
        <v>6.672205566835436E-2</v>
      </c>
      <c r="V32" s="3">
        <v>3.0483549996123328E-2</v>
      </c>
      <c r="W32" s="8">
        <v>0.89398526213126794</v>
      </c>
      <c r="X32" s="3">
        <v>1.2006062919918417E-2</v>
      </c>
      <c r="Y32" s="3">
        <v>7.3669317076334395E-2</v>
      </c>
      <c r="Z32" s="2">
        <v>4.4537792594616219</v>
      </c>
      <c r="AA32" s="1">
        <v>4.8821488690026644E-4</v>
      </c>
    </row>
    <row r="33" spans="1:27" x14ac:dyDescent="0.25">
      <c r="A33" t="s">
        <v>19</v>
      </c>
      <c r="B33" s="7">
        <v>72.993430467168267</v>
      </c>
      <c r="C33" s="3">
        <v>2.0241668500681317E-2</v>
      </c>
      <c r="D33" s="3">
        <v>0.32845095220479781</v>
      </c>
      <c r="E33" s="2">
        <v>0.47744509086226267</v>
      </c>
      <c r="F33" s="7">
        <v>12.322296021502989</v>
      </c>
      <c r="G33" s="7">
        <v>14.466970526188087</v>
      </c>
      <c r="H33" s="3">
        <v>0.92779776520441237</v>
      </c>
      <c r="I33" s="3">
        <v>0.1556227031494152</v>
      </c>
      <c r="J33" s="6">
        <v>66377.239378622457</v>
      </c>
      <c r="K33" s="3">
        <v>3.5900924293565138E-2</v>
      </c>
      <c r="L33" s="3">
        <v>0.36477982534372849</v>
      </c>
      <c r="M33" s="5">
        <v>1.2699625754391487E-4</v>
      </c>
      <c r="N33" s="2">
        <v>5.5816209196069106</v>
      </c>
      <c r="O33" s="1">
        <v>3.5766159999999999E-3</v>
      </c>
      <c r="P33" s="4">
        <v>8.1345671559259883E-2</v>
      </c>
      <c r="Q33" s="2">
        <v>4.697526745239724</v>
      </c>
      <c r="R33" s="7">
        <v>93.333333333333329</v>
      </c>
      <c r="S33" s="7">
        <v>5.6537827373910412</v>
      </c>
      <c r="T33" s="2">
        <v>4.800873541011458</v>
      </c>
      <c r="U33" s="3">
        <v>4.4786219983942777E-2</v>
      </c>
      <c r="V33" s="3">
        <v>2.5465098310989573E-2</v>
      </c>
      <c r="W33" s="8">
        <v>1.505015164805505</v>
      </c>
      <c r="X33" s="3">
        <v>2.3029428475954024E-2</v>
      </c>
      <c r="Y33" s="3">
        <v>5.5120368738057254E-3</v>
      </c>
      <c r="Z33" s="2">
        <v>5.5500730228638</v>
      </c>
      <c r="AA33" s="1">
        <v>1.8139242721229301E-3</v>
      </c>
    </row>
    <row r="34" spans="1:27" x14ac:dyDescent="0.25">
      <c r="A34" t="s">
        <v>18</v>
      </c>
      <c r="B34" s="7">
        <v>63.112334031649276</v>
      </c>
      <c r="C34" s="3">
        <v>2.0613334020831185E-2</v>
      </c>
      <c r="D34" s="3">
        <v>0.29388470661029187</v>
      </c>
      <c r="E34" s="2">
        <v>0.40118391964847444</v>
      </c>
      <c r="F34" s="7">
        <v>12.700838931619771</v>
      </c>
      <c r="G34" s="7">
        <v>14.004389674365044</v>
      </c>
      <c r="H34" s="3">
        <v>1.0504668332380098</v>
      </c>
      <c r="I34" s="3">
        <v>0.10613548303668215</v>
      </c>
      <c r="J34" s="6">
        <v>32757.071534572893</v>
      </c>
      <c r="K34" s="3">
        <v>3.7098331725120656E-2</v>
      </c>
      <c r="L34" s="3">
        <v>0.35761249294868114</v>
      </c>
      <c r="M34" s="5">
        <v>1.0358829866578271E-4</v>
      </c>
      <c r="N34" s="2">
        <v>5.8774541893453129</v>
      </c>
      <c r="O34" s="1">
        <v>2.6858274999999997E-3</v>
      </c>
      <c r="P34" s="4">
        <v>5.3940691839865273E-2</v>
      </c>
      <c r="Q34" s="2">
        <v>3.8361433187024705</v>
      </c>
      <c r="R34" s="7">
        <v>86.666666666666671</v>
      </c>
      <c r="S34" s="7">
        <v>4.7869091039777247</v>
      </c>
      <c r="T34" s="2">
        <v>5.0751568162192751</v>
      </c>
      <c r="U34" s="3">
        <v>5.5330764495781386E-2</v>
      </c>
      <c r="V34" s="3">
        <v>2.9282252242961739E-2</v>
      </c>
      <c r="W34" s="8">
        <v>0.86051175528968449</v>
      </c>
      <c r="X34" s="3">
        <v>2.2391736128126248E-2</v>
      </c>
      <c r="Y34" s="3">
        <v>7.1590274212011435E-3</v>
      </c>
      <c r="Z34" s="2">
        <v>5.3967696692221887</v>
      </c>
      <c r="AA34" s="1">
        <v>4.905344311745076E-4</v>
      </c>
    </row>
    <row r="35" spans="1:27" x14ac:dyDescent="0.25">
      <c r="A35" t="s">
        <v>17</v>
      </c>
      <c r="B35" s="7">
        <v>55.76361626544405</v>
      </c>
      <c r="C35" s="3">
        <v>1.2601353864464777E-2</v>
      </c>
      <c r="D35" s="3">
        <v>0.25877160356071316</v>
      </c>
      <c r="E35" s="2">
        <v>0.42670952863482303</v>
      </c>
      <c r="F35" s="7">
        <v>14.782272196261681</v>
      </c>
      <c r="G35" s="7">
        <v>13.683791926625073</v>
      </c>
      <c r="H35" s="3">
        <v>0.94126856597877384</v>
      </c>
      <c r="I35" s="3">
        <v>8.0838783987758372E-2</v>
      </c>
      <c r="J35" s="6">
        <v>46607.926825767528</v>
      </c>
      <c r="K35" s="3">
        <v>2.4076917726496914E-2</v>
      </c>
      <c r="L35" s="3">
        <v>0.38345603550743962</v>
      </c>
      <c r="M35" s="5">
        <v>5.5038802355660743E-5</v>
      </c>
      <c r="N35" s="2">
        <v>4.0348551232645828</v>
      </c>
      <c r="O35" s="1">
        <v>3.231818E-3</v>
      </c>
      <c r="P35" s="4">
        <v>4.6063738394816908E-2</v>
      </c>
      <c r="Q35" s="2">
        <v>6.3426583966618271</v>
      </c>
      <c r="R35" s="7">
        <v>90</v>
      </c>
      <c r="S35" s="7">
        <v>5.5839686065966072</v>
      </c>
      <c r="T35" s="2">
        <v>5.538058683669469</v>
      </c>
      <c r="U35" s="3">
        <v>3.217441253733027E-2</v>
      </c>
      <c r="V35" s="3">
        <v>2.0541049864861514E-2</v>
      </c>
      <c r="W35" s="8">
        <v>0.54053898334742567</v>
      </c>
      <c r="X35" s="3">
        <v>1.5746343757963764E-2</v>
      </c>
      <c r="Y35" s="3">
        <v>6.5231390587311379E-3</v>
      </c>
      <c r="Z35" s="2">
        <v>4.0276991254129975</v>
      </c>
      <c r="AA35" s="1">
        <v>6.251689584231905E-5</v>
      </c>
    </row>
    <row r="36" spans="1:27" x14ac:dyDescent="0.25">
      <c r="A36" t="s">
        <v>16</v>
      </c>
      <c r="B36" s="7">
        <v>58.309883033014373</v>
      </c>
      <c r="C36" s="3">
        <v>2.0145817876044914E-2</v>
      </c>
      <c r="D36" s="3">
        <v>0.30095266359994066</v>
      </c>
      <c r="E36" s="2">
        <v>0.37311789544232477</v>
      </c>
      <c r="F36" s="7">
        <v>13.693278902146027</v>
      </c>
      <c r="G36" s="7">
        <v>13.207233669443227</v>
      </c>
      <c r="H36" s="3">
        <v>0.94776089895882698</v>
      </c>
      <c r="I36" s="3">
        <v>0.11582272968180926</v>
      </c>
      <c r="J36" s="6">
        <v>32114.499332629443</v>
      </c>
      <c r="K36" s="3">
        <v>3.327589891017653E-2</v>
      </c>
      <c r="L36" s="3">
        <v>0.29376650050105735</v>
      </c>
      <c r="M36" s="5">
        <v>7.0983889286164978E-5</v>
      </c>
      <c r="N36" s="2">
        <v>4.3190741557431513</v>
      </c>
      <c r="O36" s="1">
        <v>2.3124575000000001E-3</v>
      </c>
      <c r="P36" s="4">
        <v>6.0596258857777877E-2</v>
      </c>
      <c r="Q36" s="2">
        <v>3.8904420458835993</v>
      </c>
      <c r="R36" s="7">
        <v>96.666666666666671</v>
      </c>
      <c r="S36" s="7">
        <v>4.2683345517811668</v>
      </c>
      <c r="T36" s="2">
        <v>6.4579686960453229</v>
      </c>
      <c r="U36" s="3">
        <v>4.0670215678327543E-2</v>
      </c>
      <c r="V36" s="3">
        <v>2.9972993025671465E-2</v>
      </c>
      <c r="W36" s="8">
        <v>0.85588119746726032</v>
      </c>
      <c r="X36" s="3">
        <v>2.7368640828686959E-2</v>
      </c>
      <c r="Y36" s="3">
        <v>6.8432313194697275E-3</v>
      </c>
      <c r="Z36" s="2">
        <v>4.5428437280000056</v>
      </c>
      <c r="AA36" s="1">
        <v>6.0911580452727881E-4</v>
      </c>
    </row>
    <row r="37" spans="1:27" x14ac:dyDescent="0.25">
      <c r="A37" t="s">
        <v>15</v>
      </c>
      <c r="B37" s="7">
        <v>44.080677593864678</v>
      </c>
      <c r="C37" s="3">
        <v>1.3455127786129813E-2</v>
      </c>
      <c r="D37" s="3">
        <v>0.29381658931956339</v>
      </c>
      <c r="E37" s="2">
        <v>0.35355690713725185</v>
      </c>
      <c r="F37" s="7">
        <v>12.9337799214005</v>
      </c>
      <c r="G37" s="7">
        <v>12.500801479654747</v>
      </c>
      <c r="H37" s="3">
        <v>0.84467518028822131</v>
      </c>
      <c r="I37" s="3">
        <v>9.0059467686900777E-2</v>
      </c>
      <c r="J37" s="6">
        <v>20574.869566208672</v>
      </c>
      <c r="K37" s="3">
        <v>1.8337709240714956E-2</v>
      </c>
      <c r="L37" s="3">
        <v>0.3076397864900442</v>
      </c>
      <c r="M37" s="5">
        <v>4.1682876674262215E-5</v>
      </c>
      <c r="N37" s="2">
        <v>6.0292972605942667</v>
      </c>
      <c r="O37" s="1">
        <v>2.5806549999999998E-3</v>
      </c>
      <c r="P37" s="4">
        <v>5.1760387903469013E-2</v>
      </c>
      <c r="Q37" s="2">
        <v>3.6265741882165332</v>
      </c>
      <c r="R37" s="7">
        <v>76.666666666666671</v>
      </c>
      <c r="S37" s="7">
        <v>3.8360294038735545</v>
      </c>
      <c r="T37" s="2">
        <v>4.2221810859827107</v>
      </c>
      <c r="U37" s="3">
        <v>2.6906206502674158E-2</v>
      </c>
      <c r="V37" s="3">
        <v>2.2321720373880645E-2</v>
      </c>
      <c r="W37" s="8">
        <v>0.54506566567382875</v>
      </c>
      <c r="X37" s="3">
        <v>1.2022013133177746E-2</v>
      </c>
      <c r="Y37" s="3">
        <v>3.7585288677187017E-3</v>
      </c>
      <c r="Z37" s="2">
        <v>4.2861964425192713</v>
      </c>
      <c r="AA37" s="1">
        <v>2.196462297904705E-4</v>
      </c>
    </row>
    <row r="38" spans="1:27" x14ac:dyDescent="0.25">
      <c r="A38" t="s">
        <v>14</v>
      </c>
      <c r="B38" s="7">
        <v>69.26145900910808</v>
      </c>
      <c r="C38" s="3">
        <v>1.7332753587179329E-2</v>
      </c>
      <c r="D38" s="3">
        <v>0.31331138580036028</v>
      </c>
      <c r="E38" s="2">
        <v>0.4438259140375751</v>
      </c>
      <c r="F38" s="7">
        <v>13.925422467384642</v>
      </c>
      <c r="G38" s="7">
        <v>14.161539394429397</v>
      </c>
      <c r="H38" s="3">
        <v>1.2645729193002304</v>
      </c>
      <c r="I38" s="3">
        <v>0.10701961720131968</v>
      </c>
      <c r="J38" s="6">
        <v>42975.352408771461</v>
      </c>
      <c r="K38" s="3">
        <v>2.0586233269769608E-2</v>
      </c>
      <c r="L38" s="3">
        <v>0.35541113277137748</v>
      </c>
      <c r="M38" s="5">
        <v>1.0227737624437475E-4</v>
      </c>
      <c r="N38" s="2">
        <v>4.3132145995179663</v>
      </c>
      <c r="O38" s="1">
        <v>2.3774205000000001E-3</v>
      </c>
      <c r="P38" s="4">
        <v>9.8165766542255478E-2</v>
      </c>
      <c r="Q38" s="2">
        <v>6.9868469144745653</v>
      </c>
      <c r="R38" s="7">
        <v>86.666666666666671</v>
      </c>
      <c r="S38" s="7">
        <v>5.9018552980627064</v>
      </c>
      <c r="T38" s="2">
        <v>5.4497745684709029</v>
      </c>
      <c r="U38" s="3">
        <v>5.4745281186679123E-2</v>
      </c>
      <c r="V38" s="3">
        <v>2.9175725200323001E-2</v>
      </c>
      <c r="W38" s="8">
        <v>0.9464715098054145</v>
      </c>
      <c r="X38" s="3">
        <v>3.8253327437486558E-2</v>
      </c>
      <c r="Y38" s="3">
        <v>4.6454584230958204E-3</v>
      </c>
      <c r="Z38" s="2">
        <v>6.1611219884137345</v>
      </c>
      <c r="AA38" s="1">
        <v>8.1598006055776356E-4</v>
      </c>
    </row>
    <row r="39" spans="1:27" x14ac:dyDescent="0.25">
      <c r="A39" t="s">
        <v>13</v>
      </c>
      <c r="B39" s="7">
        <v>63.226022566377985</v>
      </c>
      <c r="C39" s="3">
        <v>1.7602850363085367E-2</v>
      </c>
      <c r="D39" s="3">
        <v>0.29704385613814399</v>
      </c>
      <c r="E39" s="2">
        <v>0.40042734862157225</v>
      </c>
      <c r="F39" s="7">
        <v>12.575534954703381</v>
      </c>
      <c r="G39" s="7">
        <v>13.678167458872855</v>
      </c>
      <c r="H39" s="3">
        <v>0.99414598917221286</v>
      </c>
      <c r="I39" s="3">
        <v>0.11801655305636465</v>
      </c>
      <c r="J39" s="6">
        <v>29905.705238816106</v>
      </c>
      <c r="K39" s="3">
        <v>3.6672279239048151E-2</v>
      </c>
      <c r="L39" s="3">
        <v>0.34486671595644203</v>
      </c>
      <c r="M39" s="5">
        <v>1.4057579847053531E-4</v>
      </c>
      <c r="N39" s="2">
        <v>5.4252679289923567</v>
      </c>
      <c r="O39" s="1">
        <v>1.8218045E-3</v>
      </c>
      <c r="P39" s="4">
        <v>6.7686129355880545E-2</v>
      </c>
      <c r="Q39" s="2">
        <v>2.9126058168677398</v>
      </c>
      <c r="R39" s="7">
        <v>96.666666666666671</v>
      </c>
      <c r="S39" s="7">
        <v>5.427455101413436</v>
      </c>
      <c r="T39" s="2">
        <v>5.1006987144244169</v>
      </c>
      <c r="U39" s="3">
        <v>4.9648405052995795E-2</v>
      </c>
      <c r="V39" s="3">
        <v>2.9543570244153466E-2</v>
      </c>
      <c r="W39" s="8">
        <v>0.87106980667077893</v>
      </c>
      <c r="X39" s="3">
        <v>3.0539139131951078E-2</v>
      </c>
      <c r="Y39" s="3">
        <v>6.8525114596416645E-3</v>
      </c>
      <c r="Z39" s="2">
        <v>5.5156802651123593</v>
      </c>
      <c r="AA39" s="1">
        <v>9.0792789923842276E-4</v>
      </c>
    </row>
    <row r="40" spans="1:27" x14ac:dyDescent="0.25">
      <c r="A40" t="s">
        <v>12</v>
      </c>
      <c r="B40" s="7">
        <v>66.827829757959961</v>
      </c>
      <c r="C40" s="3">
        <v>1.9381042779568231E-2</v>
      </c>
      <c r="D40" s="3">
        <v>0.30718290583197211</v>
      </c>
      <c r="E40" s="2">
        <v>0.45550120670362826</v>
      </c>
      <c r="F40" s="7">
        <v>13.758611255862428</v>
      </c>
      <c r="G40" s="7">
        <v>13.703136706903727</v>
      </c>
      <c r="H40" s="3">
        <v>0.88806674495487259</v>
      </c>
      <c r="I40" s="3">
        <v>0.10922499418662591</v>
      </c>
      <c r="J40" s="6">
        <v>19228.519050996929</v>
      </c>
      <c r="K40" s="3">
        <v>4.458706299611552E-2</v>
      </c>
      <c r="L40" s="3">
        <v>0.3994913168203712</v>
      </c>
      <c r="M40" s="5">
        <v>8.1446489656295808E-5</v>
      </c>
      <c r="N40" s="2">
        <v>4.0348551232645828</v>
      </c>
      <c r="O40" s="1">
        <v>2.1207449999999998E-3</v>
      </c>
      <c r="P40" s="4">
        <v>6.3457114058997399E-2</v>
      </c>
      <c r="Q40" s="2">
        <v>8.4767081625918621</v>
      </c>
      <c r="R40" s="7">
        <v>80</v>
      </c>
      <c r="S40" s="7">
        <v>6.0854453550699308</v>
      </c>
      <c r="T40" s="2">
        <v>6.2722300189000899</v>
      </c>
      <c r="U40" s="3">
        <v>5.1898026756659464E-2</v>
      </c>
      <c r="V40" s="3">
        <v>3.000529777934749E-2</v>
      </c>
      <c r="W40" s="8">
        <v>0.89734889802546292</v>
      </c>
      <c r="X40" s="3">
        <v>2.0602032906780247E-2</v>
      </c>
      <c r="Y40" s="3">
        <v>1.859131859131859E-2</v>
      </c>
      <c r="Z40" s="2">
        <v>4.7361396452974232</v>
      </c>
      <c r="AA40" s="1">
        <v>1.7652794742375115E-3</v>
      </c>
    </row>
    <row r="41" spans="1:27" x14ac:dyDescent="0.25">
      <c r="A41" t="s">
        <v>11</v>
      </c>
      <c r="B41" s="7">
        <v>56.570666281702607</v>
      </c>
      <c r="C41" s="3">
        <v>1.3667306782444129E-2</v>
      </c>
      <c r="D41" s="3">
        <v>0.27074670896997022</v>
      </c>
      <c r="E41" s="2">
        <v>0.37599233218767769</v>
      </c>
      <c r="F41" s="7">
        <v>13.26447171225178</v>
      </c>
      <c r="G41" s="7">
        <v>13.409514076835828</v>
      </c>
      <c r="H41" s="3">
        <v>1.0177301542931012</v>
      </c>
      <c r="I41" s="3">
        <v>9.3317415074473664E-2</v>
      </c>
      <c r="J41" s="6">
        <v>52584.82404783219</v>
      </c>
      <c r="K41" s="3">
        <v>4.6336794176102557E-2</v>
      </c>
      <c r="L41" s="3">
        <v>0.3164091159716273</v>
      </c>
      <c r="M41" s="5">
        <v>1.0141602119594843E-4</v>
      </c>
      <c r="N41" s="2">
        <v>4.5844144937392945</v>
      </c>
      <c r="O41" s="1">
        <v>3.2184459999999998E-3</v>
      </c>
      <c r="P41" s="4">
        <v>4.6596832639822811E-2</v>
      </c>
      <c r="Q41" s="2">
        <v>3.254108876187209</v>
      </c>
      <c r="R41" s="7">
        <v>80</v>
      </c>
      <c r="S41" s="7">
        <v>4.2955956272599591</v>
      </c>
      <c r="T41" s="2">
        <v>4.1272169318032397</v>
      </c>
      <c r="U41" s="3">
        <v>3.9214551715861259E-2</v>
      </c>
      <c r="V41" s="3">
        <v>2.5649717514124294E-2</v>
      </c>
      <c r="W41" s="8">
        <v>0.64358895818869444</v>
      </c>
      <c r="X41" s="3">
        <v>1.7323389695263789E-2</v>
      </c>
      <c r="Y41" s="3">
        <v>6.8100939054959037E-3</v>
      </c>
      <c r="Z41" s="2">
        <v>5.8164150410362128</v>
      </c>
      <c r="AA41" s="1">
        <v>2.3853305447561036E-4</v>
      </c>
    </row>
    <row r="42" spans="1:27" x14ac:dyDescent="0.25">
      <c r="A42" t="s">
        <v>10</v>
      </c>
      <c r="B42" s="7">
        <v>49.018500248128213</v>
      </c>
      <c r="C42" s="3">
        <v>1.243854720577907E-2</v>
      </c>
      <c r="D42" s="3">
        <v>0.26632888532156113</v>
      </c>
      <c r="E42" s="2">
        <v>0.39404391392855309</v>
      </c>
      <c r="F42" s="7">
        <v>9.7524975272007914</v>
      </c>
      <c r="G42" s="7">
        <v>13.583594501718212</v>
      </c>
      <c r="H42" s="3">
        <v>0.81559964923946415</v>
      </c>
      <c r="I42" s="3">
        <v>9.607638780052033E-2</v>
      </c>
      <c r="J42" s="6">
        <v>20041.438920143501</v>
      </c>
      <c r="K42" s="3">
        <v>1.4500045421829031E-2</v>
      </c>
      <c r="L42" s="3">
        <v>0.32390911220930207</v>
      </c>
      <c r="M42" s="5">
        <v>0</v>
      </c>
      <c r="N42" s="2">
        <v>5.7057362234818951</v>
      </c>
      <c r="O42" s="1">
        <v>2.9762899999999999E-3</v>
      </c>
      <c r="P42" s="4">
        <v>0.11248862670300812</v>
      </c>
      <c r="Q42" s="2">
        <v>5.0002122037329908</v>
      </c>
      <c r="R42" s="7">
        <v>83.333333333333329</v>
      </c>
      <c r="S42" s="7">
        <v>5.2684301701368312</v>
      </c>
      <c r="T42" s="2">
        <v>6.5795215477503231</v>
      </c>
      <c r="U42" s="3">
        <v>2.8382983976739506E-2</v>
      </c>
      <c r="V42" s="3">
        <v>1.9363900872880507E-2</v>
      </c>
      <c r="W42" s="8">
        <v>0.38077058027257654</v>
      </c>
      <c r="X42" s="3">
        <v>1.0093027851149156E-2</v>
      </c>
      <c r="Y42" s="3">
        <v>3.9100876619128618E-3</v>
      </c>
      <c r="Z42" s="2">
        <v>5.3011104654612113</v>
      </c>
      <c r="AA42" s="1">
        <v>0</v>
      </c>
    </row>
    <row r="43" spans="1:27" x14ac:dyDescent="0.25">
      <c r="A43" t="s">
        <v>9</v>
      </c>
      <c r="B43" s="7">
        <v>51.338855964542276</v>
      </c>
      <c r="C43" s="3">
        <v>1.4395923651252409E-2</v>
      </c>
      <c r="D43" s="3">
        <v>0.27802866088631983</v>
      </c>
      <c r="E43" s="2">
        <v>0.35324801976168191</v>
      </c>
      <c r="F43" s="7">
        <v>12.405863695510735</v>
      </c>
      <c r="G43" s="7">
        <v>13.198608598137888</v>
      </c>
      <c r="H43" s="3">
        <v>0.94031745699633618</v>
      </c>
      <c r="I43" s="3">
        <v>8.911607395159396E-2</v>
      </c>
      <c r="J43" s="6">
        <v>44434.705825341189</v>
      </c>
      <c r="K43" s="3">
        <v>3.3644661863001871E-2</v>
      </c>
      <c r="L43" s="3">
        <v>0.24969740285534084</v>
      </c>
      <c r="M43" s="5">
        <v>1.0716910263738059E-4</v>
      </c>
      <c r="N43" s="2">
        <v>5.7941802579710115</v>
      </c>
      <c r="O43" s="1">
        <v>2.6704839999999999E-3</v>
      </c>
      <c r="P43" s="4">
        <v>5.4197301991335378E-2</v>
      </c>
      <c r="Q43" s="2">
        <v>2.7108920344981495</v>
      </c>
      <c r="R43" s="7">
        <v>96.666666666666671</v>
      </c>
      <c r="S43" s="7">
        <v>4.2794018888547667</v>
      </c>
      <c r="T43" s="2">
        <v>4.1534136880666637</v>
      </c>
      <c r="U43" s="3">
        <v>3.5060941071782432E-2</v>
      </c>
      <c r="V43" s="3">
        <v>2.1891558285163776E-2</v>
      </c>
      <c r="W43" s="8">
        <v>0.52919146119925542</v>
      </c>
      <c r="X43" s="3">
        <v>1.3955155329861635E-2</v>
      </c>
      <c r="Y43" s="3">
        <v>1.0578424943597431E-2</v>
      </c>
      <c r="Z43" s="2">
        <v>5.1255018285074092</v>
      </c>
      <c r="AA43" s="1">
        <v>3.2279101376274469E-4</v>
      </c>
    </row>
    <row r="44" spans="1:27" x14ac:dyDescent="0.25">
      <c r="A44" t="s">
        <v>8</v>
      </c>
      <c r="B44" s="7">
        <v>65.245687221163877</v>
      </c>
      <c r="C44" s="3">
        <v>2.0089230013044218E-2</v>
      </c>
      <c r="D44" s="3">
        <v>0.29669546477115905</v>
      </c>
      <c r="E44" s="2">
        <v>0.3831694160336378</v>
      </c>
      <c r="F44" s="7">
        <v>11.393575242099338</v>
      </c>
      <c r="G44" s="7">
        <v>13.286161814997081</v>
      </c>
      <c r="H44" s="3">
        <v>1.094888559803437</v>
      </c>
      <c r="I44" s="3">
        <v>0.10411741966476169</v>
      </c>
      <c r="J44" s="6">
        <v>108586.0384903683</v>
      </c>
      <c r="K44" s="3">
        <v>3.0447000480759528E-2</v>
      </c>
      <c r="L44" s="3">
        <v>0.30612604510471891</v>
      </c>
      <c r="M44" s="5">
        <v>1.5213290330432666E-4</v>
      </c>
      <c r="N44" s="2">
        <v>7.610448143200955</v>
      </c>
      <c r="O44" s="1">
        <v>3.9975030000000003E-3</v>
      </c>
      <c r="P44" s="4">
        <v>6.3687248694614423E-2</v>
      </c>
      <c r="Q44" s="2">
        <v>4.0223759747171322</v>
      </c>
      <c r="R44" s="7">
        <v>90</v>
      </c>
      <c r="S44" s="7">
        <v>4.0337800678287525</v>
      </c>
      <c r="T44" s="2">
        <v>4.3353522413281365</v>
      </c>
      <c r="U44" s="3">
        <v>5.0744702330670612E-2</v>
      </c>
      <c r="V44" s="3">
        <v>3.3792086507741459E-2</v>
      </c>
      <c r="W44" s="8">
        <v>0.99950625817047567</v>
      </c>
      <c r="X44" s="3">
        <v>2.7105975823801674E-2</v>
      </c>
      <c r="Y44" s="3">
        <v>4.1898333802162721E-3</v>
      </c>
      <c r="Z44" s="2">
        <v>3.9983449292274313</v>
      </c>
      <c r="AA44" s="1">
        <v>8.4034790479992788E-4</v>
      </c>
    </row>
    <row r="45" spans="1:27" x14ac:dyDescent="0.25">
      <c r="A45" t="s">
        <v>7</v>
      </c>
      <c r="B45" s="7">
        <v>76.964394687396648</v>
      </c>
      <c r="C45" s="3">
        <v>1.7353541241620519E-2</v>
      </c>
      <c r="D45" s="3">
        <v>0.29989590706582836</v>
      </c>
      <c r="E45" s="2">
        <v>0.45938577438487577</v>
      </c>
      <c r="F45" s="7">
        <v>13.487204401779442</v>
      </c>
      <c r="G45" s="7">
        <v>13.535974427565218</v>
      </c>
      <c r="H45" s="3">
        <v>1.2975035140519739</v>
      </c>
      <c r="I45" s="3">
        <v>0.11551790827412367</v>
      </c>
      <c r="J45" s="6">
        <v>68518.714324607485</v>
      </c>
      <c r="K45" s="3">
        <v>1.9069625255459632E-2</v>
      </c>
      <c r="L45" s="3">
        <v>0.43422821125701272</v>
      </c>
      <c r="M45" s="5">
        <v>3.0348224195338511E-4</v>
      </c>
      <c r="N45" s="2">
        <v>5.5568716220702443</v>
      </c>
      <c r="O45" s="1">
        <v>3.0517130000000002E-3</v>
      </c>
      <c r="P45" s="4">
        <v>0.18000920311952373</v>
      </c>
      <c r="Q45" s="2">
        <v>6.1797622151184406</v>
      </c>
      <c r="R45" s="7">
        <v>100</v>
      </c>
      <c r="S45" s="7">
        <v>6.2599508316944013</v>
      </c>
      <c r="T45" s="2">
        <v>3.2231574051563916</v>
      </c>
      <c r="U45" s="3">
        <v>6.851157678255787E-2</v>
      </c>
      <c r="V45" s="3">
        <v>3.3393013282258403E-2</v>
      </c>
      <c r="W45" s="8">
        <v>0.974858163345239</v>
      </c>
      <c r="X45" s="3">
        <v>2.7605827635565985E-2</v>
      </c>
      <c r="Y45" s="3">
        <v>9.5756640471018444E-3</v>
      </c>
      <c r="Z45" s="2">
        <v>4.2207777177681329</v>
      </c>
      <c r="AA45" s="1">
        <v>3.1473777535967066E-3</v>
      </c>
    </row>
    <row r="46" spans="1:27" x14ac:dyDescent="0.25">
      <c r="A46" t="s">
        <v>6</v>
      </c>
      <c r="B46" s="7">
        <v>69.545292293391128</v>
      </c>
      <c r="C46" s="3">
        <v>1.3968513040225781E-2</v>
      </c>
      <c r="D46" s="3">
        <v>0.33057907443299672</v>
      </c>
      <c r="E46" s="2">
        <v>0.50536282498137708</v>
      </c>
      <c r="F46" s="7">
        <v>14.540894039735099</v>
      </c>
      <c r="G46" s="7">
        <v>14.978484185580166</v>
      </c>
      <c r="H46" s="3">
        <v>0.86376708818316372</v>
      </c>
      <c r="I46" s="3">
        <v>6.9450988717385795E-2</v>
      </c>
      <c r="J46" s="6">
        <v>58837.089846379356</v>
      </c>
      <c r="K46" s="3">
        <v>2.7929919571299405E-2</v>
      </c>
      <c r="L46" s="3">
        <v>0.40954581813804902</v>
      </c>
      <c r="M46" s="5">
        <v>5.3775005377500541E-5</v>
      </c>
      <c r="N46" s="2">
        <v>4.0348551232645828</v>
      </c>
      <c r="O46" s="1">
        <v>4.5529200000000002E-3</v>
      </c>
      <c r="P46" s="4">
        <v>5.6609671393164016E-2</v>
      </c>
      <c r="Q46" s="2">
        <v>8.4767081625918621</v>
      </c>
      <c r="R46" s="7">
        <v>80</v>
      </c>
      <c r="S46" s="7">
        <v>5.3726903036227736</v>
      </c>
      <c r="T46" s="2">
        <v>6.7089351300868607</v>
      </c>
      <c r="U46" s="3">
        <v>5.4529696964334205E-2</v>
      </c>
      <c r="V46" s="3">
        <v>2.516236526233466E-2</v>
      </c>
      <c r="W46" s="8">
        <v>1.1298843320815863</v>
      </c>
      <c r="X46" s="3">
        <v>2.0890563621304172E-2</v>
      </c>
      <c r="Y46" s="3">
        <v>5.5311510449651676E-3</v>
      </c>
      <c r="Z46" s="2">
        <v>5.8123302645799679</v>
      </c>
      <c r="AA46" s="1">
        <v>1.5832334324393234E-4</v>
      </c>
    </row>
    <row r="47" spans="1:27" x14ac:dyDescent="0.25">
      <c r="A47" t="s">
        <v>5</v>
      </c>
      <c r="B47" s="7">
        <v>80.862245757415636</v>
      </c>
      <c r="C47" s="3">
        <v>3.338272497289483E-2</v>
      </c>
      <c r="D47" s="3">
        <v>0.35308442912346055</v>
      </c>
      <c r="E47" s="2">
        <v>0.5019983319908603</v>
      </c>
      <c r="F47" s="7">
        <v>13.837151087309316</v>
      </c>
      <c r="G47" s="7">
        <v>14.542122492586481</v>
      </c>
      <c r="H47" s="3">
        <v>1.1342777912939515</v>
      </c>
      <c r="I47" s="3">
        <v>0.13175354287734992</v>
      </c>
      <c r="J47" s="6">
        <v>34606.621484451869</v>
      </c>
      <c r="K47" s="3">
        <v>3.1992603966221556E-2</v>
      </c>
      <c r="L47" s="3">
        <v>0.36101365315104483</v>
      </c>
      <c r="M47" s="5">
        <v>3.2826202008427627E-4</v>
      </c>
      <c r="N47" s="2">
        <v>4.9292828575288095</v>
      </c>
      <c r="O47" s="1">
        <v>2.0264074999999998E-3</v>
      </c>
      <c r="P47" s="4">
        <v>6.5844864148379353E-2</v>
      </c>
      <c r="Q47" s="2">
        <v>3.1066938209987485</v>
      </c>
      <c r="R47" s="7">
        <v>93.333333333333329</v>
      </c>
      <c r="S47" s="7">
        <v>6.133995655418496</v>
      </c>
      <c r="T47" s="2">
        <v>5.5499775871166275</v>
      </c>
      <c r="U47" s="3">
        <v>8.3940598512236148E-2</v>
      </c>
      <c r="V47" s="3">
        <v>5.3829473742737208E-2</v>
      </c>
      <c r="W47" s="8">
        <v>1.0992010692190557</v>
      </c>
      <c r="X47" s="3">
        <v>2.7167036636966208E-2</v>
      </c>
      <c r="Y47" s="3">
        <v>1.2916573867633207E-2</v>
      </c>
      <c r="Z47" s="2">
        <v>5.2990058884837898</v>
      </c>
      <c r="AA47" s="1">
        <v>6.8794597691455199E-4</v>
      </c>
    </row>
    <row r="48" spans="1:27" x14ac:dyDescent="0.25">
      <c r="A48" t="s">
        <v>4</v>
      </c>
      <c r="B48" s="7">
        <v>82.545994805913253</v>
      </c>
      <c r="C48" s="3">
        <v>3.1026236577812508E-2</v>
      </c>
      <c r="D48" s="3">
        <v>0.34220065989406961</v>
      </c>
      <c r="E48" s="2">
        <v>0.46738693533316444</v>
      </c>
      <c r="F48" s="7">
        <v>13.829085811384877</v>
      </c>
      <c r="G48" s="7">
        <v>13.862558407960199</v>
      </c>
      <c r="H48" s="3">
        <v>1.0772948462575174</v>
      </c>
      <c r="I48" s="3">
        <v>9.651875467682397E-2</v>
      </c>
      <c r="J48" s="6">
        <v>87353.131170934095</v>
      </c>
      <c r="K48" s="3">
        <v>2.4870754464377663E-2</v>
      </c>
      <c r="L48" s="3">
        <v>0.27087497286471818</v>
      </c>
      <c r="M48" s="5">
        <v>2.3895772872410426E-4</v>
      </c>
      <c r="N48" s="2">
        <v>4.8042337439865239</v>
      </c>
      <c r="O48" s="1">
        <v>2.6818459999999999E-3</v>
      </c>
      <c r="P48" s="4">
        <v>9.7412789318265594E-2</v>
      </c>
      <c r="Q48" s="2">
        <v>6.6143816024452411</v>
      </c>
      <c r="R48" s="7">
        <v>76.666666666666671</v>
      </c>
      <c r="S48" s="7">
        <v>6.605385685714201</v>
      </c>
      <c r="T48" s="2">
        <v>4.8710821134421556</v>
      </c>
      <c r="U48" s="3">
        <v>7.1175177557075808E-2</v>
      </c>
      <c r="V48" s="3">
        <v>5.882246534108998E-2</v>
      </c>
      <c r="W48" s="8">
        <v>2.9401018988891683</v>
      </c>
      <c r="X48" s="3">
        <v>3.4817867578148982E-2</v>
      </c>
      <c r="Y48" s="3">
        <v>9.2603662430222264E-3</v>
      </c>
      <c r="Z48" s="2">
        <v>6.0847645719086065</v>
      </c>
      <c r="AA48" s="1">
        <v>2.6863219305434168E-3</v>
      </c>
    </row>
    <row r="49" spans="1:27" x14ac:dyDescent="0.25">
      <c r="A49" t="s">
        <v>3</v>
      </c>
      <c r="B49" s="7">
        <v>39.789740138426495</v>
      </c>
      <c r="C49" s="3">
        <v>1.1692515551552341E-2</v>
      </c>
      <c r="D49" s="3">
        <v>0.27681763166042728</v>
      </c>
      <c r="E49" s="2">
        <v>0.28351328227643707</v>
      </c>
      <c r="F49" s="7">
        <v>12.819072988811934</v>
      </c>
      <c r="G49" s="7">
        <v>12.572773768784408</v>
      </c>
      <c r="H49" s="3">
        <v>0.83756171594990925</v>
      </c>
      <c r="I49" s="3">
        <v>6.7107670396651484E-2</v>
      </c>
      <c r="J49" s="6">
        <v>30250.253933836262</v>
      </c>
      <c r="K49" s="3">
        <v>2.7942036519591915E-2</v>
      </c>
      <c r="L49" s="3">
        <v>0.28905744719946908</v>
      </c>
      <c r="M49" s="5">
        <v>0</v>
      </c>
      <c r="N49" s="2">
        <v>4.0348551232645828</v>
      </c>
      <c r="O49" s="1">
        <v>1.8087245E-3</v>
      </c>
      <c r="P49" s="4">
        <v>3.2062243502051987E-2</v>
      </c>
      <c r="Q49" s="2">
        <v>2.5013229040122131</v>
      </c>
      <c r="R49" s="7">
        <v>96.666666666666671</v>
      </c>
      <c r="S49" s="7">
        <v>3.6177004801370551</v>
      </c>
      <c r="T49" s="2">
        <v>4.8492064467905278</v>
      </c>
      <c r="U49" s="3">
        <v>2.4320158084708093E-2</v>
      </c>
      <c r="V49" s="3">
        <v>1.58330284009345E-2</v>
      </c>
      <c r="W49" s="8">
        <v>0.43297477405097307</v>
      </c>
      <c r="X49" s="3">
        <v>1.0162777096189315E-2</v>
      </c>
      <c r="Y49" s="3">
        <v>5.595553330965221E-3</v>
      </c>
      <c r="Z49" s="2">
        <v>4.4614689140744046</v>
      </c>
      <c r="AA49" s="1">
        <v>2.2381018340021625E-4</v>
      </c>
    </row>
    <row r="50" spans="1:27" x14ac:dyDescent="0.25">
      <c r="A50" t="s">
        <v>2</v>
      </c>
      <c r="B50" s="7">
        <v>57.807379664550005</v>
      </c>
      <c r="C50" s="3">
        <v>1.7800604500837921E-2</v>
      </c>
      <c r="D50" s="3">
        <v>0.28016519032798659</v>
      </c>
      <c r="E50" s="2">
        <v>0.40493049087092681</v>
      </c>
      <c r="F50" s="7">
        <v>12.152103077414544</v>
      </c>
      <c r="G50" s="7">
        <v>14.11128943315142</v>
      </c>
      <c r="H50" s="3">
        <v>0.94246757056123931</v>
      </c>
      <c r="I50" s="3">
        <v>0.10325119636324359</v>
      </c>
      <c r="J50" s="6">
        <v>27307.044981937808</v>
      </c>
      <c r="K50" s="3">
        <v>2.4529665064537264E-2</v>
      </c>
      <c r="L50" s="3">
        <v>0.30603843327396835</v>
      </c>
      <c r="M50" s="5">
        <v>2.7165300855706977E-5</v>
      </c>
      <c r="N50" s="2">
        <v>5.1121234191191975</v>
      </c>
      <c r="O50" s="1">
        <v>2.0759454999999998E-3</v>
      </c>
      <c r="P50" s="4">
        <v>7.2642480153434275E-2</v>
      </c>
      <c r="Q50" s="2">
        <v>5.7451428277916392</v>
      </c>
      <c r="R50" s="7">
        <v>83.333333333333329</v>
      </c>
      <c r="S50" s="7">
        <v>5.9091838576823301</v>
      </c>
      <c r="T50" s="2">
        <v>6.4711973156090439</v>
      </c>
      <c r="U50" s="3">
        <v>4.4269362736538517E-2</v>
      </c>
      <c r="V50" s="3">
        <v>2.7745690687096002E-2</v>
      </c>
      <c r="W50" s="8">
        <v>0.63326451721368804</v>
      </c>
      <c r="X50" s="3">
        <v>2.5972203428451981E-2</v>
      </c>
      <c r="Y50" s="3">
        <v>5.7965529871398342E-3</v>
      </c>
      <c r="Z50" s="2">
        <v>5.1334322387674529</v>
      </c>
      <c r="AA50" s="1">
        <v>3.9515555661488429E-4</v>
      </c>
    </row>
    <row r="51" spans="1:27" x14ac:dyDescent="0.25">
      <c r="A51" t="s">
        <v>1</v>
      </c>
      <c r="B51" s="7">
        <v>48.054117425590476</v>
      </c>
      <c r="C51" s="3">
        <v>8.7181700474751843E-3</v>
      </c>
      <c r="D51" s="3">
        <v>0.26769529564091499</v>
      </c>
      <c r="E51" s="2">
        <v>0.38302760000210001</v>
      </c>
      <c r="F51" s="7">
        <v>13.78305785123967</v>
      </c>
      <c r="G51" s="7">
        <v>13.190330515958118</v>
      </c>
      <c r="H51" s="3">
        <v>0.83439169809886971</v>
      </c>
      <c r="I51" s="3">
        <v>6.0733642719959541E-2</v>
      </c>
      <c r="J51" s="6">
        <v>30518.937840754264</v>
      </c>
      <c r="K51" s="3">
        <v>2.1409564978029708E-2</v>
      </c>
      <c r="L51" s="3">
        <v>0.35665151570348241</v>
      </c>
      <c r="M51" s="5">
        <v>2.8433323855558714E-5</v>
      </c>
      <c r="N51" s="2">
        <v>4.0348551232645828</v>
      </c>
      <c r="O51" s="1">
        <v>2.2768125000000002E-3</v>
      </c>
      <c r="P51" s="4">
        <v>7.6186993356494176E-2</v>
      </c>
      <c r="Q51" s="2">
        <v>6.6298627288001679</v>
      </c>
      <c r="R51" s="7">
        <v>80</v>
      </c>
      <c r="S51" s="7">
        <v>4.7492988332826478</v>
      </c>
      <c r="T51" s="2">
        <v>4.5360211954157599</v>
      </c>
      <c r="U51" s="3">
        <v>1.9907010592601963E-2</v>
      </c>
      <c r="V51" s="3">
        <v>2.1568839015968927E-2</v>
      </c>
      <c r="W51" s="8">
        <v>1.8599538759966305</v>
      </c>
      <c r="X51" s="3">
        <v>9.1356935344045695E-3</v>
      </c>
      <c r="Y51" s="3">
        <v>1.9436462547077695E-3</v>
      </c>
      <c r="Z51" s="2">
        <v>4.5576529804498476</v>
      </c>
      <c r="AA51" s="1">
        <v>0</v>
      </c>
    </row>
    <row r="52" spans="1:27" x14ac:dyDescent="0.25">
      <c r="A52" t="s">
        <v>0</v>
      </c>
      <c r="B52" s="7">
        <v>62.583968819316262</v>
      </c>
      <c r="C52" s="3">
        <v>1.7873862616659429E-2</v>
      </c>
      <c r="D52" s="3">
        <v>0.30076388996220005</v>
      </c>
      <c r="E52" s="2">
        <v>0.41713636634794576</v>
      </c>
      <c r="F52" s="7">
        <v>13.088987997187676</v>
      </c>
      <c r="G52" s="7">
        <v>13.620759390985096</v>
      </c>
      <c r="H52" s="3">
        <v>0.98744218517260507</v>
      </c>
      <c r="I52" s="3">
        <v>0.1020472176124549</v>
      </c>
      <c r="J52" s="6">
        <v>43482.133409193986</v>
      </c>
      <c r="K52" s="3">
        <v>2.9963863060662642E-2</v>
      </c>
      <c r="L52" s="3">
        <v>0.34201615660041762</v>
      </c>
      <c r="M52" s="5">
        <v>1.1046910378144012E-4</v>
      </c>
      <c r="N52" s="2">
        <v>5.0000000000000009</v>
      </c>
      <c r="O52" s="1">
        <v>3.0050784799999998E-3</v>
      </c>
      <c r="P52" s="4">
        <v>7.4935688823625057E-2</v>
      </c>
      <c r="Q52" s="2">
        <v>5</v>
      </c>
      <c r="R52">
        <v>87.2</v>
      </c>
      <c r="S52">
        <v>5.0000000000000009</v>
      </c>
      <c r="T52" s="2">
        <v>5</v>
      </c>
      <c r="U52" s="3">
        <v>4.7515681791808519E-2</v>
      </c>
      <c r="V52" s="3">
        <v>2.967142836133458E-2</v>
      </c>
      <c r="W52" s="2">
        <v>0.99888268724588147</v>
      </c>
      <c r="X52" s="3">
        <v>2.6256412158422303E-2</v>
      </c>
      <c r="Y52" s="3">
        <v>8.6228168933901936E-3</v>
      </c>
      <c r="Z52" s="2">
        <v>4.9999999999999991</v>
      </c>
      <c r="AA52" s="1">
        <v>9.1508006964997153E-4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51"/>
  <sheetViews>
    <sheetView workbookViewId="0"/>
  </sheetViews>
  <sheetFormatPr defaultRowHeight="15.75" x14ac:dyDescent="0.25"/>
  <sheetData>
    <row r="1" spans="1:4" x14ac:dyDescent="0.25">
      <c r="A1" t="s">
        <v>77</v>
      </c>
      <c r="B1" t="s">
        <v>76</v>
      </c>
      <c r="C1" t="s">
        <v>75</v>
      </c>
      <c r="D1" t="s">
        <v>73</v>
      </c>
    </row>
    <row r="2" spans="1:4" x14ac:dyDescent="0.25">
      <c r="A2" t="s">
        <v>108</v>
      </c>
      <c r="B2" s="7">
        <v>50.368928178231378</v>
      </c>
      <c r="C2" s="3">
        <v>1.4021048015786013E-2</v>
      </c>
      <c r="D2" s="2">
        <v>0.34977055102026822</v>
      </c>
    </row>
    <row r="3" spans="1:4" x14ac:dyDescent="0.25">
      <c r="A3" t="s">
        <v>136</v>
      </c>
      <c r="B3" s="7">
        <v>56.809417269961884</v>
      </c>
      <c r="C3" s="3">
        <v>1.5334170065892688E-2</v>
      </c>
      <c r="D3" s="2">
        <v>0.42849552512516303</v>
      </c>
    </row>
    <row r="4" spans="1:4" x14ac:dyDescent="0.25">
      <c r="A4" t="s">
        <v>83</v>
      </c>
      <c r="B4" s="7">
        <v>67.06697796775245</v>
      </c>
      <c r="C4" s="3">
        <v>2.2363875841844977E-2</v>
      </c>
      <c r="D4" s="2">
        <v>0.41089791901064932</v>
      </c>
    </row>
    <row r="5" spans="1:4" x14ac:dyDescent="0.25">
      <c r="A5" t="s">
        <v>97</v>
      </c>
      <c r="B5" s="7">
        <v>44.243250803165836</v>
      </c>
      <c r="C5" s="3">
        <v>1.2530518952052778E-2</v>
      </c>
      <c r="D5" s="2">
        <v>0.31237240828118862</v>
      </c>
    </row>
    <row r="6" spans="1:4" x14ac:dyDescent="0.25">
      <c r="A6" t="s">
        <v>81</v>
      </c>
      <c r="B6" s="7">
        <v>83.670902811606808</v>
      </c>
      <c r="C6" s="3">
        <v>2.1601090072939526E-2</v>
      </c>
      <c r="D6" s="2">
        <v>0.44408640123739573</v>
      </c>
    </row>
    <row r="7" spans="1:4" x14ac:dyDescent="0.25">
      <c r="A7" t="s">
        <v>94</v>
      </c>
      <c r="B7" s="7">
        <v>81.401625095369496</v>
      </c>
      <c r="C7" s="3">
        <v>2.6659359614762641E-2</v>
      </c>
      <c r="D7" s="2">
        <v>0.53033309005781126</v>
      </c>
    </row>
    <row r="8" spans="1:4" x14ac:dyDescent="0.25">
      <c r="A8" t="s">
        <v>121</v>
      </c>
      <c r="B8" s="7">
        <v>77.621847611400369</v>
      </c>
      <c r="C8" s="3">
        <v>2.1119077883772878E-2</v>
      </c>
      <c r="D8" s="2">
        <v>0.52461126584534123</v>
      </c>
    </row>
    <row r="9" spans="1:4" x14ac:dyDescent="0.25">
      <c r="A9" t="s">
        <v>117</v>
      </c>
      <c r="B9" s="7">
        <v>85.05792017183704</v>
      </c>
      <c r="C9" s="3">
        <v>2.9722735674676527E-2</v>
      </c>
      <c r="D9" s="2">
        <v>0.42488134727422039</v>
      </c>
    </row>
    <row r="10" spans="1:4" x14ac:dyDescent="0.25">
      <c r="A10" t="s">
        <v>109</v>
      </c>
      <c r="B10" s="7">
        <v>61.603751473216327</v>
      </c>
      <c r="C10" s="3">
        <v>1.6130797308165551E-2</v>
      </c>
      <c r="D10" s="2">
        <v>0.39654888750507544</v>
      </c>
    </row>
    <row r="11" spans="1:4" x14ac:dyDescent="0.25">
      <c r="A11" t="s">
        <v>110</v>
      </c>
      <c r="B11" s="7">
        <v>64.271691467456449</v>
      </c>
      <c r="C11" s="3">
        <v>1.8604230604922514E-2</v>
      </c>
      <c r="D11" s="2">
        <v>0.4072936026801427</v>
      </c>
    </row>
    <row r="12" spans="1:4" x14ac:dyDescent="0.25">
      <c r="A12" t="s">
        <v>137</v>
      </c>
      <c r="B12" s="7">
        <v>48.448535706797472</v>
      </c>
      <c r="C12" s="3">
        <v>1.1880110844766326E-2</v>
      </c>
      <c r="D12" s="2">
        <v>0.44585574005991929</v>
      </c>
    </row>
    <row r="13" spans="1:4" x14ac:dyDescent="0.25">
      <c r="A13" t="s">
        <v>92</v>
      </c>
      <c r="B13" s="7">
        <v>62.299533379582236</v>
      </c>
      <c r="C13" s="3">
        <v>1.4919637785277509E-2</v>
      </c>
      <c r="D13" s="2">
        <v>0.3882796069455936</v>
      </c>
    </row>
    <row r="14" spans="1:4" x14ac:dyDescent="0.25">
      <c r="A14" t="s">
        <v>104</v>
      </c>
      <c r="B14" s="7">
        <v>67.10866885983242</v>
      </c>
      <c r="C14" s="3">
        <v>1.9636785244489197E-2</v>
      </c>
      <c r="D14" s="2">
        <v>0.45024628763409297</v>
      </c>
    </row>
    <row r="15" spans="1:4" x14ac:dyDescent="0.25">
      <c r="A15" t="s">
        <v>105</v>
      </c>
      <c r="B15" s="7">
        <v>54.638803677357082</v>
      </c>
      <c r="C15" s="3">
        <v>1.2877322256678711E-2</v>
      </c>
      <c r="D15" s="2">
        <v>0.35079601397073346</v>
      </c>
    </row>
    <row r="16" spans="1:4" x14ac:dyDescent="0.25">
      <c r="A16" t="s">
        <v>100</v>
      </c>
      <c r="B16" s="7">
        <v>54.818016389432401</v>
      </c>
      <c r="C16" s="3">
        <v>1.7285856099650516E-2</v>
      </c>
      <c r="D16" s="2">
        <v>0.39618624118983226</v>
      </c>
    </row>
    <row r="17" spans="1:4" x14ac:dyDescent="0.25">
      <c r="A17" t="s">
        <v>87</v>
      </c>
      <c r="B17" s="7">
        <v>57.341901396311336</v>
      </c>
      <c r="C17" s="3">
        <v>1.7268267571086817E-2</v>
      </c>
      <c r="D17" s="2">
        <v>0.44026029613186601</v>
      </c>
    </row>
    <row r="18" spans="1:4" x14ac:dyDescent="0.25">
      <c r="A18" t="s">
        <v>106</v>
      </c>
      <c r="B18" s="7">
        <v>48.405309395625714</v>
      </c>
      <c r="C18" s="3">
        <v>1.2583085422864428E-2</v>
      </c>
      <c r="D18" s="2">
        <v>0.33013494302939128</v>
      </c>
    </row>
    <row r="19" spans="1:4" x14ac:dyDescent="0.25">
      <c r="A19" t="s">
        <v>96</v>
      </c>
      <c r="B19" s="7">
        <v>47.033003129510988</v>
      </c>
      <c r="C19" s="3">
        <v>8.9438553481674971E-3</v>
      </c>
      <c r="D19" s="2">
        <v>0.32032516742305689</v>
      </c>
    </row>
    <row r="20" spans="1:4" x14ac:dyDescent="0.25">
      <c r="A20" t="s">
        <v>126</v>
      </c>
      <c r="B20" s="7">
        <v>58.325140001291778</v>
      </c>
      <c r="C20" s="3">
        <v>1.2887405138441946E-2</v>
      </c>
      <c r="D20" s="2">
        <v>0.40963821135206657</v>
      </c>
    </row>
    <row r="21" spans="1:4" x14ac:dyDescent="0.25">
      <c r="A21" t="s">
        <v>116</v>
      </c>
      <c r="B21" s="7">
        <v>81.500119060780847</v>
      </c>
      <c r="C21" s="3">
        <v>2.8960281676677236E-2</v>
      </c>
      <c r="D21" s="2">
        <v>0.52645594875300061</v>
      </c>
    </row>
    <row r="22" spans="1:4" x14ac:dyDescent="0.25">
      <c r="A22" t="s">
        <v>123</v>
      </c>
      <c r="B22" s="7">
        <v>94.67324894994124</v>
      </c>
      <c r="C22" s="3">
        <v>2.9132313995902662E-2</v>
      </c>
      <c r="D22" s="2">
        <v>0.55204748750660859</v>
      </c>
    </row>
    <row r="23" spans="1:4" x14ac:dyDescent="0.25">
      <c r="A23" t="s">
        <v>103</v>
      </c>
      <c r="B23" s="7">
        <v>66.953225681499646</v>
      </c>
      <c r="C23" s="3">
        <v>1.7796290057476544E-2</v>
      </c>
      <c r="D23" s="2">
        <v>0.39412924870465532</v>
      </c>
    </row>
    <row r="24" spans="1:4" x14ac:dyDescent="0.25">
      <c r="A24" t="s">
        <v>101</v>
      </c>
      <c r="B24" s="7">
        <v>71.666926837444237</v>
      </c>
      <c r="C24" s="3">
        <v>2.4147044235188993E-2</v>
      </c>
      <c r="D24" s="2">
        <v>0.47956450111421417</v>
      </c>
    </row>
    <row r="25" spans="1:4" x14ac:dyDescent="0.25">
      <c r="A25" t="s">
        <v>98</v>
      </c>
      <c r="B25" s="7">
        <v>37.981586091750117</v>
      </c>
      <c r="C25" s="3">
        <v>7.1907221265804042E-3</v>
      </c>
      <c r="D25" s="2">
        <v>0.32478655500510473</v>
      </c>
    </row>
    <row r="26" spans="1:4" x14ac:dyDescent="0.25">
      <c r="A26" t="s">
        <v>99</v>
      </c>
      <c r="B26" s="7">
        <v>56.785159199846724</v>
      </c>
      <c r="C26" s="3">
        <v>2.3595212420996887E-2</v>
      </c>
      <c r="D26" s="2">
        <v>0.38584233782288235</v>
      </c>
    </row>
    <row r="27" spans="1:4" x14ac:dyDescent="0.25">
      <c r="A27" t="s">
        <v>91</v>
      </c>
      <c r="B27" s="7">
        <v>54.417860679935835</v>
      </c>
      <c r="C27" s="3">
        <v>1.1223923400712337E-2</v>
      </c>
      <c r="D27" s="2">
        <v>0.42978639136828928</v>
      </c>
    </row>
    <row r="28" spans="1:4" x14ac:dyDescent="0.25">
      <c r="A28" t="s">
        <v>88</v>
      </c>
      <c r="B28" s="7">
        <v>55.967366505096351</v>
      </c>
      <c r="C28" s="3">
        <v>2.0639900309347092E-2</v>
      </c>
      <c r="D28" s="2">
        <v>0.42768678308537189</v>
      </c>
    </row>
    <row r="29" spans="1:4" x14ac:dyDescent="0.25">
      <c r="A29" t="s">
        <v>82</v>
      </c>
      <c r="B29" s="7">
        <v>58.65586766505556</v>
      </c>
      <c r="C29" s="3">
        <v>1.0902622520316547E-2</v>
      </c>
      <c r="D29" s="2">
        <v>0.34364091442007727</v>
      </c>
    </row>
    <row r="30" spans="1:4" x14ac:dyDescent="0.25">
      <c r="A30" t="s">
        <v>125</v>
      </c>
      <c r="B30" s="7">
        <v>74.597615053199902</v>
      </c>
      <c r="C30" s="3">
        <v>1.8532421537105645E-2</v>
      </c>
      <c r="D30" s="2">
        <v>0.49040274687106949</v>
      </c>
    </row>
    <row r="31" spans="1:4" x14ac:dyDescent="0.25">
      <c r="A31" t="s">
        <v>118</v>
      </c>
      <c r="B31" s="7">
        <v>75.428129583894062</v>
      </c>
      <c r="C31" s="3">
        <v>2.4419830667524223E-2</v>
      </c>
      <c r="D31" s="2">
        <v>0.49364947683652732</v>
      </c>
    </row>
    <row r="32" spans="1:4" x14ac:dyDescent="0.25">
      <c r="A32" t="s">
        <v>84</v>
      </c>
      <c r="B32" s="7">
        <v>58.717983658822838</v>
      </c>
      <c r="C32" s="3">
        <v>1.4876075775980151E-2</v>
      </c>
      <c r="D32" s="2">
        <v>0.40398568729646483</v>
      </c>
    </row>
    <row r="33" spans="1:4" x14ac:dyDescent="0.25">
      <c r="A33" t="s">
        <v>120</v>
      </c>
      <c r="B33" s="7">
        <v>72.993430467168267</v>
      </c>
      <c r="C33" s="3">
        <v>2.0241668500681317E-2</v>
      </c>
      <c r="D33" s="2">
        <v>0.47744509086226267</v>
      </c>
    </row>
    <row r="34" spans="1:4" x14ac:dyDescent="0.25">
      <c r="A34" t="s">
        <v>112</v>
      </c>
      <c r="B34" s="7">
        <v>63.112334031649276</v>
      </c>
      <c r="C34" s="3">
        <v>2.0613334020831185E-2</v>
      </c>
      <c r="D34" s="2">
        <v>0.40118391964847444</v>
      </c>
    </row>
    <row r="35" spans="1:4" x14ac:dyDescent="0.25">
      <c r="A35" t="s">
        <v>90</v>
      </c>
      <c r="B35" s="7">
        <v>55.76361626544405</v>
      </c>
      <c r="C35" s="3">
        <v>1.2601353864464777E-2</v>
      </c>
      <c r="D35" s="2">
        <v>0.42670952863482303</v>
      </c>
    </row>
    <row r="36" spans="1:4" x14ac:dyDescent="0.25">
      <c r="A36" t="s">
        <v>113</v>
      </c>
      <c r="B36" s="7">
        <v>58.309883033014373</v>
      </c>
      <c r="C36" s="3">
        <v>2.0145817876044914E-2</v>
      </c>
      <c r="D36" s="2">
        <v>0.37311789544232477</v>
      </c>
    </row>
    <row r="37" spans="1:4" x14ac:dyDescent="0.25">
      <c r="A37" t="s">
        <v>86</v>
      </c>
      <c r="B37" s="7">
        <v>44.080677593864678</v>
      </c>
      <c r="C37" s="3">
        <v>1.3455127786129813E-2</v>
      </c>
      <c r="D37" s="2">
        <v>0.35355690713725185</v>
      </c>
    </row>
    <row r="38" spans="1:4" x14ac:dyDescent="0.25">
      <c r="A38" t="s">
        <v>80</v>
      </c>
      <c r="B38" s="7">
        <v>69.26145900910808</v>
      </c>
      <c r="C38" s="3">
        <v>1.7332753587179329E-2</v>
      </c>
      <c r="D38" s="2">
        <v>0.4438259140375751</v>
      </c>
    </row>
    <row r="39" spans="1:4" x14ac:dyDescent="0.25">
      <c r="A39" t="s">
        <v>138</v>
      </c>
      <c r="B39" s="7">
        <v>63.226022566377985</v>
      </c>
      <c r="C39" s="3">
        <v>1.7602850363085367E-2</v>
      </c>
      <c r="D39" s="2">
        <v>0.40042734862157225</v>
      </c>
    </row>
    <row r="40" spans="1:4" x14ac:dyDescent="0.25">
      <c r="A40" t="s">
        <v>122</v>
      </c>
      <c r="B40" s="7">
        <v>66.827829757959961</v>
      </c>
      <c r="C40" s="3">
        <v>1.9381042779568231E-2</v>
      </c>
      <c r="D40" s="2">
        <v>0.45550120670362826</v>
      </c>
    </row>
    <row r="41" spans="1:4" x14ac:dyDescent="0.25">
      <c r="A41" t="s">
        <v>111</v>
      </c>
      <c r="B41" s="7">
        <v>56.570666281702607</v>
      </c>
      <c r="C41" s="3">
        <v>1.3667306782444129E-2</v>
      </c>
      <c r="D41" s="2">
        <v>0.37599233218767769</v>
      </c>
    </row>
    <row r="42" spans="1:4" x14ac:dyDescent="0.25">
      <c r="A42" t="s">
        <v>89</v>
      </c>
      <c r="B42" s="7">
        <v>49.018500248128213</v>
      </c>
      <c r="C42" s="3">
        <v>1.243854720577907E-2</v>
      </c>
      <c r="D42" s="2">
        <v>0.39404391392855309</v>
      </c>
    </row>
    <row r="43" spans="1:4" x14ac:dyDescent="0.25">
      <c r="A43" t="s">
        <v>107</v>
      </c>
      <c r="B43" s="7">
        <v>51.338855964542276</v>
      </c>
      <c r="C43" s="3">
        <v>1.4395923651252409E-2</v>
      </c>
      <c r="D43" s="2">
        <v>0.35324801976168191</v>
      </c>
    </row>
    <row r="44" spans="1:4" x14ac:dyDescent="0.25">
      <c r="A44" t="s">
        <v>85</v>
      </c>
      <c r="B44" s="7">
        <v>65.245687221163877</v>
      </c>
      <c r="C44" s="3">
        <v>2.0089230013044218E-2</v>
      </c>
      <c r="D44" s="2">
        <v>0.3831694160336378</v>
      </c>
    </row>
    <row r="45" spans="1:4" x14ac:dyDescent="0.25">
      <c r="A45" t="s">
        <v>93</v>
      </c>
      <c r="B45" s="7">
        <v>76.964394687396648</v>
      </c>
      <c r="C45" s="3">
        <v>1.7353541241620519E-2</v>
      </c>
      <c r="D45" s="2">
        <v>0.45938577438487577</v>
      </c>
    </row>
    <row r="46" spans="1:4" x14ac:dyDescent="0.25">
      <c r="A46" t="s">
        <v>124</v>
      </c>
      <c r="B46" s="7">
        <v>69.545292293391128</v>
      </c>
      <c r="C46" s="3">
        <v>1.3968513040225781E-2</v>
      </c>
      <c r="D46" s="2">
        <v>0.50536282498137708</v>
      </c>
    </row>
    <row r="47" spans="1:4" x14ac:dyDescent="0.25">
      <c r="A47" t="s">
        <v>114</v>
      </c>
      <c r="B47" s="7">
        <v>80.862245757415636</v>
      </c>
      <c r="C47" s="3">
        <v>3.338272497289483E-2</v>
      </c>
      <c r="D47" s="2">
        <v>0.5019983319908603</v>
      </c>
    </row>
    <row r="48" spans="1:4" x14ac:dyDescent="0.25">
      <c r="A48" t="s">
        <v>79</v>
      </c>
      <c r="B48" s="7">
        <v>82.545994805913253</v>
      </c>
      <c r="C48" s="3">
        <v>3.1026236577812508E-2</v>
      </c>
      <c r="D48" s="2">
        <v>0.46738693533316444</v>
      </c>
    </row>
    <row r="49" spans="1:4" x14ac:dyDescent="0.25">
      <c r="A49" t="s">
        <v>115</v>
      </c>
      <c r="B49" s="7">
        <v>39.789740138426495</v>
      </c>
      <c r="C49" s="3">
        <v>1.1692515551552341E-2</v>
      </c>
      <c r="D49" s="2">
        <v>0.28351328227643707</v>
      </c>
    </row>
    <row r="50" spans="1:4" x14ac:dyDescent="0.25">
      <c r="A50" t="s">
        <v>102</v>
      </c>
      <c r="B50" s="7">
        <v>57.807379664550005</v>
      </c>
      <c r="C50" s="3">
        <v>1.7800604500837921E-2</v>
      </c>
      <c r="D50" s="2">
        <v>0.40493049087092681</v>
      </c>
    </row>
    <row r="51" spans="1:4" x14ac:dyDescent="0.25">
      <c r="A51" t="s">
        <v>95</v>
      </c>
      <c r="B51" s="7">
        <v>48.054117425590476</v>
      </c>
      <c r="C51" s="3">
        <v>8.7181700474751843E-3</v>
      </c>
      <c r="D51" s="2">
        <v>0.38302760000210001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529"/>
  <sheetViews>
    <sheetView workbookViewId="0">
      <selection activeCell="A2" sqref="A2"/>
    </sheetView>
  </sheetViews>
  <sheetFormatPr defaultRowHeight="15.75" x14ac:dyDescent="0.25"/>
  <sheetData>
    <row r="1" spans="1:4" x14ac:dyDescent="0.25">
      <c r="A1" t="s">
        <v>141</v>
      </c>
      <c r="B1" t="s">
        <v>132</v>
      </c>
      <c r="C1" t="s">
        <v>133</v>
      </c>
      <c r="D1" t="s">
        <v>78</v>
      </c>
    </row>
    <row r="2" spans="1:4" x14ac:dyDescent="0.25">
      <c r="A2" t="s">
        <v>79</v>
      </c>
      <c r="B2">
        <v>2005</v>
      </c>
      <c r="C2" s="10">
        <v>70461</v>
      </c>
      <c r="D2" t="str">
        <f>B2 &amp;A2</f>
        <v>2005WA</v>
      </c>
    </row>
    <row r="3" spans="1:4" x14ac:dyDescent="0.25">
      <c r="A3" t="s">
        <v>79</v>
      </c>
      <c r="B3">
        <v>2006</v>
      </c>
      <c r="C3" s="10">
        <v>76963</v>
      </c>
      <c r="D3" t="str">
        <f t="shared" ref="D3:D66" si="0">B3 &amp;A3</f>
        <v>2006WA</v>
      </c>
    </row>
    <row r="4" spans="1:4" x14ac:dyDescent="0.25">
      <c r="A4" t="s">
        <v>79</v>
      </c>
      <c r="B4">
        <v>2007</v>
      </c>
      <c r="C4" s="10">
        <v>77284</v>
      </c>
      <c r="D4" t="str">
        <f t="shared" si="0"/>
        <v>2007WA</v>
      </c>
    </row>
    <row r="5" spans="1:4" x14ac:dyDescent="0.25">
      <c r="A5" t="s">
        <v>79</v>
      </c>
      <c r="B5">
        <v>2008</v>
      </c>
      <c r="C5" s="10">
        <v>79053</v>
      </c>
      <c r="D5" t="str">
        <f t="shared" si="0"/>
        <v>2008WA</v>
      </c>
    </row>
    <row r="6" spans="1:4" x14ac:dyDescent="0.25">
      <c r="A6" t="s">
        <v>79</v>
      </c>
      <c r="B6">
        <v>2009</v>
      </c>
      <c r="C6" s="10">
        <v>83121</v>
      </c>
      <c r="D6" t="str">
        <f t="shared" si="0"/>
        <v>2009WA</v>
      </c>
    </row>
    <row r="7" spans="1:4" x14ac:dyDescent="0.25">
      <c r="A7" t="s">
        <v>79</v>
      </c>
      <c r="B7">
        <v>2010</v>
      </c>
      <c r="C7" s="10">
        <v>83654</v>
      </c>
      <c r="D7" t="str">
        <f t="shared" si="0"/>
        <v>2010WA</v>
      </c>
    </row>
    <row r="8" spans="1:4" x14ac:dyDescent="0.25">
      <c r="A8" t="s">
        <v>79</v>
      </c>
      <c r="B8">
        <v>2011</v>
      </c>
      <c r="C8" s="10">
        <v>86447</v>
      </c>
      <c r="D8" t="str">
        <f t="shared" si="0"/>
        <v>2011WA</v>
      </c>
    </row>
    <row r="9" spans="1:4" x14ac:dyDescent="0.25">
      <c r="A9" t="s">
        <v>79</v>
      </c>
      <c r="B9">
        <v>2012</v>
      </c>
      <c r="C9" s="10">
        <v>92290</v>
      </c>
      <c r="D9" t="str">
        <f t="shared" si="0"/>
        <v>2012WA</v>
      </c>
    </row>
    <row r="10" spans="1:4" x14ac:dyDescent="0.25">
      <c r="A10" t="s">
        <v>79</v>
      </c>
      <c r="B10">
        <v>2013</v>
      </c>
      <c r="C10" s="10">
        <v>94235</v>
      </c>
      <c r="D10" t="str">
        <f t="shared" si="0"/>
        <v>2013WA</v>
      </c>
    </row>
    <row r="11" spans="1:4" x14ac:dyDescent="0.25">
      <c r="A11" t="s">
        <v>79</v>
      </c>
      <c r="B11">
        <v>2014</v>
      </c>
      <c r="C11" s="10">
        <v>96241</v>
      </c>
      <c r="D11" t="str">
        <f t="shared" si="0"/>
        <v>2014WA</v>
      </c>
    </row>
    <row r="12" spans="1:4" x14ac:dyDescent="0.25">
      <c r="A12" t="s">
        <v>79</v>
      </c>
      <c r="B12">
        <v>2015</v>
      </c>
      <c r="C12" s="10">
        <v>103750</v>
      </c>
      <c r="D12" t="str">
        <f t="shared" si="0"/>
        <v>2015WA</v>
      </c>
    </row>
    <row r="13" spans="1:4" x14ac:dyDescent="0.25">
      <c r="A13" t="s">
        <v>80</v>
      </c>
      <c r="B13">
        <v>2005</v>
      </c>
      <c r="C13" s="10">
        <v>66575</v>
      </c>
      <c r="D13" t="str">
        <f t="shared" si="0"/>
        <v>2005OR</v>
      </c>
    </row>
    <row r="14" spans="1:4" x14ac:dyDescent="0.25">
      <c r="A14" t="s">
        <v>80</v>
      </c>
      <c r="B14">
        <v>2006</v>
      </c>
      <c r="C14" s="10">
        <v>69915</v>
      </c>
      <c r="D14" t="str">
        <f t="shared" si="0"/>
        <v>2006OR</v>
      </c>
    </row>
    <row r="15" spans="1:4" x14ac:dyDescent="0.25">
      <c r="A15" t="s">
        <v>80</v>
      </c>
      <c r="B15">
        <v>2007</v>
      </c>
      <c r="C15" s="10">
        <v>69509</v>
      </c>
      <c r="D15" t="str">
        <f t="shared" si="0"/>
        <v>2007OR</v>
      </c>
    </row>
    <row r="16" spans="1:4" x14ac:dyDescent="0.25">
      <c r="A16" t="s">
        <v>80</v>
      </c>
      <c r="B16">
        <v>2008</v>
      </c>
      <c r="C16" s="10">
        <v>76262</v>
      </c>
      <c r="D16" t="str">
        <f t="shared" si="0"/>
        <v>2008OR</v>
      </c>
    </row>
    <row r="17" spans="1:4" x14ac:dyDescent="0.25">
      <c r="A17" t="s">
        <v>80</v>
      </c>
      <c r="B17">
        <v>2009</v>
      </c>
      <c r="C17" s="10">
        <v>74898</v>
      </c>
      <c r="D17" t="str">
        <f t="shared" si="0"/>
        <v>2009OR</v>
      </c>
    </row>
    <row r="18" spans="1:4" x14ac:dyDescent="0.25">
      <c r="A18" t="s">
        <v>80</v>
      </c>
      <c r="B18">
        <v>2010</v>
      </c>
      <c r="C18" s="10">
        <v>71864</v>
      </c>
      <c r="D18" t="str">
        <f t="shared" si="0"/>
        <v>2010OR</v>
      </c>
    </row>
    <row r="19" spans="1:4" x14ac:dyDescent="0.25">
      <c r="A19" t="s">
        <v>80</v>
      </c>
      <c r="B19">
        <v>2011</v>
      </c>
      <c r="C19" s="10">
        <v>80426</v>
      </c>
      <c r="D19" t="str">
        <f t="shared" si="0"/>
        <v>2011OR</v>
      </c>
    </row>
    <row r="20" spans="1:4" x14ac:dyDescent="0.25">
      <c r="A20" t="s">
        <v>80</v>
      </c>
      <c r="B20">
        <v>2012</v>
      </c>
      <c r="C20" s="10">
        <v>84965</v>
      </c>
      <c r="D20" t="str">
        <f t="shared" si="0"/>
        <v>2012OR</v>
      </c>
    </row>
    <row r="21" spans="1:4" x14ac:dyDescent="0.25">
      <c r="A21" t="s">
        <v>80</v>
      </c>
      <c r="B21">
        <v>2013</v>
      </c>
      <c r="C21" s="10">
        <v>81340</v>
      </c>
      <c r="D21" t="str">
        <f t="shared" si="0"/>
        <v>2013OR</v>
      </c>
    </row>
    <row r="22" spans="1:4" x14ac:dyDescent="0.25">
      <c r="A22" t="s">
        <v>80</v>
      </c>
      <c r="B22">
        <v>2014</v>
      </c>
      <c r="C22" s="10">
        <v>87992</v>
      </c>
      <c r="D22" t="str">
        <f t="shared" si="0"/>
        <v>2014OR</v>
      </c>
    </row>
    <row r="23" spans="1:4" x14ac:dyDescent="0.25">
      <c r="A23" t="s">
        <v>80</v>
      </c>
      <c r="B23">
        <v>2015</v>
      </c>
      <c r="C23" s="10">
        <v>91634</v>
      </c>
      <c r="D23" t="str">
        <f t="shared" si="0"/>
        <v>2015OR</v>
      </c>
    </row>
    <row r="24" spans="1:4" x14ac:dyDescent="0.25">
      <c r="A24" t="s">
        <v>81</v>
      </c>
      <c r="B24">
        <v>2005</v>
      </c>
      <c r="C24" s="10">
        <v>78697</v>
      </c>
      <c r="D24" t="str">
        <f t="shared" si="0"/>
        <v>2005CA</v>
      </c>
    </row>
    <row r="25" spans="1:4" x14ac:dyDescent="0.25">
      <c r="A25" t="s">
        <v>81</v>
      </c>
      <c r="B25">
        <v>2006</v>
      </c>
      <c r="C25" s="10">
        <v>83974</v>
      </c>
      <c r="D25" t="str">
        <f t="shared" si="0"/>
        <v>2006CA</v>
      </c>
    </row>
    <row r="26" spans="1:4" x14ac:dyDescent="0.25">
      <c r="A26" t="s">
        <v>81</v>
      </c>
      <c r="B26">
        <v>2007</v>
      </c>
      <c r="C26" s="10">
        <v>85643</v>
      </c>
      <c r="D26" t="str">
        <f t="shared" si="0"/>
        <v>2007CA</v>
      </c>
    </row>
    <row r="27" spans="1:4" x14ac:dyDescent="0.25">
      <c r="A27" t="s">
        <v>81</v>
      </c>
      <c r="B27">
        <v>2008</v>
      </c>
      <c r="C27" s="10">
        <v>89659</v>
      </c>
      <c r="D27" t="str">
        <f t="shared" si="0"/>
        <v>2008CA</v>
      </c>
    </row>
    <row r="28" spans="1:4" x14ac:dyDescent="0.25">
      <c r="A28" t="s">
        <v>81</v>
      </c>
      <c r="B28">
        <v>2009</v>
      </c>
      <c r="C28" s="10">
        <v>89742</v>
      </c>
      <c r="D28" t="str">
        <f t="shared" si="0"/>
        <v>2009CA</v>
      </c>
    </row>
    <row r="29" spans="1:4" x14ac:dyDescent="0.25">
      <c r="A29" t="s">
        <v>81</v>
      </c>
      <c r="B29">
        <v>2010</v>
      </c>
      <c r="C29" s="10">
        <v>90521</v>
      </c>
      <c r="D29" t="str">
        <f t="shared" si="0"/>
        <v>2010CA</v>
      </c>
    </row>
    <row r="30" spans="1:4" x14ac:dyDescent="0.25">
      <c r="A30" t="s">
        <v>81</v>
      </c>
      <c r="B30">
        <v>2011</v>
      </c>
      <c r="C30" s="10">
        <v>93294</v>
      </c>
      <c r="D30" t="str">
        <f t="shared" si="0"/>
        <v>2011CA</v>
      </c>
    </row>
    <row r="31" spans="1:4" x14ac:dyDescent="0.25">
      <c r="A31" t="s">
        <v>81</v>
      </c>
      <c r="B31">
        <v>2012</v>
      </c>
      <c r="C31" s="10">
        <v>95635</v>
      </c>
      <c r="D31" t="str">
        <f t="shared" si="0"/>
        <v>2012CA</v>
      </c>
    </row>
    <row r="32" spans="1:4" x14ac:dyDescent="0.25">
      <c r="A32" t="s">
        <v>81</v>
      </c>
      <c r="B32">
        <v>2013</v>
      </c>
      <c r="C32" s="10">
        <v>98184</v>
      </c>
      <c r="D32" t="str">
        <f t="shared" si="0"/>
        <v>2013CA</v>
      </c>
    </row>
    <row r="33" spans="1:4" x14ac:dyDescent="0.25">
      <c r="A33" t="s">
        <v>81</v>
      </c>
      <c r="B33">
        <v>2014</v>
      </c>
      <c r="C33" s="10">
        <v>102950</v>
      </c>
      <c r="D33" t="str">
        <f t="shared" si="0"/>
        <v>2014CA</v>
      </c>
    </row>
    <row r="34" spans="1:4" x14ac:dyDescent="0.25">
      <c r="A34" t="s">
        <v>81</v>
      </c>
      <c r="B34">
        <v>2015</v>
      </c>
      <c r="C34" s="10">
        <v>109488</v>
      </c>
      <c r="D34" t="str">
        <f t="shared" si="0"/>
        <v>2015CA</v>
      </c>
    </row>
    <row r="35" spans="1:4" x14ac:dyDescent="0.25">
      <c r="A35" t="s">
        <v>82</v>
      </c>
      <c r="B35">
        <v>2005</v>
      </c>
      <c r="C35" s="10">
        <v>64367</v>
      </c>
      <c r="D35" t="str">
        <f t="shared" si="0"/>
        <v>2005NV</v>
      </c>
    </row>
    <row r="36" spans="1:4" x14ac:dyDescent="0.25">
      <c r="A36" t="s">
        <v>82</v>
      </c>
      <c r="B36">
        <v>2006</v>
      </c>
      <c r="C36" s="10">
        <v>73116</v>
      </c>
      <c r="D36" t="str">
        <f t="shared" si="0"/>
        <v>2006NV</v>
      </c>
    </row>
    <row r="37" spans="1:4" x14ac:dyDescent="0.25">
      <c r="A37" t="s">
        <v>82</v>
      </c>
      <c r="B37">
        <v>2007</v>
      </c>
      <c r="C37" s="10">
        <v>70185</v>
      </c>
      <c r="D37" t="str">
        <f t="shared" si="0"/>
        <v>2007NV</v>
      </c>
    </row>
    <row r="38" spans="1:4" x14ac:dyDescent="0.25">
      <c r="A38" t="s">
        <v>82</v>
      </c>
      <c r="B38">
        <v>2008</v>
      </c>
      <c r="C38" s="10">
        <v>71438</v>
      </c>
      <c r="D38" t="str">
        <f t="shared" si="0"/>
        <v>2008NV</v>
      </c>
    </row>
    <row r="39" spans="1:4" x14ac:dyDescent="0.25">
      <c r="A39" t="s">
        <v>82</v>
      </c>
      <c r="B39">
        <v>2009</v>
      </c>
      <c r="C39" s="10">
        <v>73408</v>
      </c>
      <c r="D39" t="str">
        <f t="shared" si="0"/>
        <v>2009NV</v>
      </c>
    </row>
    <row r="40" spans="1:4" x14ac:dyDescent="0.25">
      <c r="A40" t="s">
        <v>82</v>
      </c>
      <c r="B40">
        <v>2010</v>
      </c>
      <c r="C40" s="10">
        <v>74942</v>
      </c>
      <c r="D40" t="str">
        <f t="shared" si="0"/>
        <v>2010NV</v>
      </c>
    </row>
    <row r="41" spans="1:4" x14ac:dyDescent="0.25">
      <c r="A41" t="s">
        <v>82</v>
      </c>
      <c r="B41">
        <v>2011</v>
      </c>
      <c r="C41" s="10">
        <v>69511</v>
      </c>
      <c r="D41" t="str">
        <f t="shared" si="0"/>
        <v>2011NV</v>
      </c>
    </row>
    <row r="42" spans="1:4" x14ac:dyDescent="0.25">
      <c r="A42" t="s">
        <v>82</v>
      </c>
      <c r="B42">
        <v>2012</v>
      </c>
      <c r="C42" s="10">
        <v>76227</v>
      </c>
      <c r="D42" t="str">
        <f t="shared" si="0"/>
        <v>2012NV</v>
      </c>
    </row>
    <row r="43" spans="1:4" x14ac:dyDescent="0.25">
      <c r="A43" t="s">
        <v>82</v>
      </c>
      <c r="B43">
        <v>2013</v>
      </c>
      <c r="C43" s="10">
        <v>80133</v>
      </c>
      <c r="D43" t="str">
        <f t="shared" si="0"/>
        <v>2013NV</v>
      </c>
    </row>
    <row r="44" spans="1:4" x14ac:dyDescent="0.25">
      <c r="A44" t="s">
        <v>82</v>
      </c>
      <c r="B44">
        <v>2014</v>
      </c>
      <c r="C44" s="10">
        <v>81651</v>
      </c>
      <c r="D44" t="str">
        <f t="shared" si="0"/>
        <v>2014NV</v>
      </c>
    </row>
    <row r="45" spans="1:4" x14ac:dyDescent="0.25">
      <c r="A45" t="s">
        <v>82</v>
      </c>
      <c r="B45">
        <v>2015</v>
      </c>
      <c r="C45" s="10">
        <v>82148</v>
      </c>
      <c r="D45" t="str">
        <f t="shared" si="0"/>
        <v>2015NV</v>
      </c>
    </row>
    <row r="46" spans="1:4" x14ac:dyDescent="0.25">
      <c r="A46" t="s">
        <v>83</v>
      </c>
      <c r="B46">
        <v>2005</v>
      </c>
      <c r="C46" s="10">
        <v>68320</v>
      </c>
      <c r="D46" t="str">
        <f t="shared" si="0"/>
        <v>2005AZ</v>
      </c>
    </row>
    <row r="47" spans="1:4" x14ac:dyDescent="0.25">
      <c r="A47" t="s">
        <v>83</v>
      </c>
      <c r="B47">
        <v>2006</v>
      </c>
      <c r="C47" s="10">
        <v>72075</v>
      </c>
      <c r="D47" t="str">
        <f t="shared" si="0"/>
        <v>2006AZ</v>
      </c>
    </row>
    <row r="48" spans="1:4" x14ac:dyDescent="0.25">
      <c r="A48" t="s">
        <v>83</v>
      </c>
      <c r="B48">
        <v>2007</v>
      </c>
      <c r="C48" s="10">
        <v>67784</v>
      </c>
      <c r="D48" t="str">
        <f t="shared" si="0"/>
        <v>2007AZ</v>
      </c>
    </row>
    <row r="49" spans="1:4" x14ac:dyDescent="0.25">
      <c r="A49" t="s">
        <v>83</v>
      </c>
      <c r="B49">
        <v>2008</v>
      </c>
      <c r="C49" s="10">
        <v>75138</v>
      </c>
      <c r="D49" t="str">
        <f t="shared" si="0"/>
        <v>2008AZ</v>
      </c>
    </row>
    <row r="50" spans="1:4" x14ac:dyDescent="0.25">
      <c r="A50" t="s">
        <v>83</v>
      </c>
      <c r="B50">
        <v>2009</v>
      </c>
      <c r="C50" s="10">
        <v>76393</v>
      </c>
      <c r="D50" t="str">
        <f t="shared" si="0"/>
        <v>2009AZ</v>
      </c>
    </row>
    <row r="51" spans="1:4" x14ac:dyDescent="0.25">
      <c r="A51" t="s">
        <v>83</v>
      </c>
      <c r="B51">
        <v>2010</v>
      </c>
      <c r="C51" s="10">
        <v>75132</v>
      </c>
      <c r="D51" t="str">
        <f t="shared" si="0"/>
        <v>2010AZ</v>
      </c>
    </row>
    <row r="52" spans="1:4" x14ac:dyDescent="0.25">
      <c r="A52" t="s">
        <v>83</v>
      </c>
      <c r="B52">
        <v>2011</v>
      </c>
      <c r="C52" s="10">
        <v>74559</v>
      </c>
      <c r="D52" t="str">
        <f t="shared" si="0"/>
        <v>2011AZ</v>
      </c>
    </row>
    <row r="53" spans="1:4" x14ac:dyDescent="0.25">
      <c r="A53" t="s">
        <v>83</v>
      </c>
      <c r="B53">
        <v>2012</v>
      </c>
      <c r="C53" s="10">
        <v>82645</v>
      </c>
      <c r="D53" t="str">
        <f t="shared" si="0"/>
        <v>2012AZ</v>
      </c>
    </row>
    <row r="54" spans="1:4" x14ac:dyDescent="0.25">
      <c r="A54" t="s">
        <v>83</v>
      </c>
      <c r="B54">
        <v>2013</v>
      </c>
      <c r="C54" s="10">
        <v>84860</v>
      </c>
      <c r="D54" t="str">
        <f t="shared" si="0"/>
        <v>2013AZ</v>
      </c>
    </row>
    <row r="55" spans="1:4" x14ac:dyDescent="0.25">
      <c r="A55" t="s">
        <v>83</v>
      </c>
      <c r="B55">
        <v>2014</v>
      </c>
      <c r="C55" s="10">
        <v>84088</v>
      </c>
      <c r="D55" t="str">
        <f t="shared" si="0"/>
        <v>2014AZ</v>
      </c>
    </row>
    <row r="56" spans="1:4" x14ac:dyDescent="0.25">
      <c r="A56" t="s">
        <v>83</v>
      </c>
      <c r="B56">
        <v>2015</v>
      </c>
      <c r="C56" s="10">
        <v>90585</v>
      </c>
      <c r="D56" t="str">
        <f t="shared" si="0"/>
        <v>2015AZ</v>
      </c>
    </row>
    <row r="57" spans="1:4" x14ac:dyDescent="0.25">
      <c r="A57" t="s">
        <v>84</v>
      </c>
      <c r="B57">
        <v>2005</v>
      </c>
      <c r="C57" s="10">
        <v>61744</v>
      </c>
      <c r="D57" t="str">
        <f t="shared" si="0"/>
        <v>2005NM</v>
      </c>
    </row>
    <row r="58" spans="1:4" x14ac:dyDescent="0.25">
      <c r="A58" t="s">
        <v>84</v>
      </c>
      <c r="B58">
        <v>2006</v>
      </c>
      <c r="C58" s="10">
        <v>65879</v>
      </c>
      <c r="D58" t="str">
        <f t="shared" si="0"/>
        <v>2006NM</v>
      </c>
    </row>
    <row r="59" spans="1:4" x14ac:dyDescent="0.25">
      <c r="A59" t="s">
        <v>84</v>
      </c>
      <c r="B59">
        <v>2007</v>
      </c>
      <c r="C59" s="10">
        <v>61144</v>
      </c>
      <c r="D59" t="str">
        <f t="shared" si="0"/>
        <v>2007NM</v>
      </c>
    </row>
    <row r="60" spans="1:4" x14ac:dyDescent="0.25">
      <c r="A60" t="s">
        <v>84</v>
      </c>
      <c r="B60">
        <v>2008</v>
      </c>
      <c r="C60" s="10">
        <v>71095</v>
      </c>
      <c r="D60" t="str">
        <f t="shared" si="0"/>
        <v>2008NM</v>
      </c>
    </row>
    <row r="61" spans="1:4" x14ac:dyDescent="0.25">
      <c r="A61" t="s">
        <v>84</v>
      </c>
      <c r="B61">
        <v>2009</v>
      </c>
      <c r="C61" s="10">
        <v>68680</v>
      </c>
      <c r="D61" t="str">
        <f t="shared" si="0"/>
        <v>2009NM</v>
      </c>
    </row>
    <row r="62" spans="1:4" x14ac:dyDescent="0.25">
      <c r="A62" t="s">
        <v>84</v>
      </c>
      <c r="B62">
        <v>2010</v>
      </c>
      <c r="C62" s="10">
        <v>75094</v>
      </c>
      <c r="D62" t="str">
        <f t="shared" si="0"/>
        <v>2010NM</v>
      </c>
    </row>
    <row r="63" spans="1:4" x14ac:dyDescent="0.25">
      <c r="A63" t="s">
        <v>84</v>
      </c>
      <c r="B63">
        <v>2011</v>
      </c>
      <c r="C63" s="10">
        <v>71333</v>
      </c>
      <c r="D63" t="str">
        <f t="shared" si="0"/>
        <v>2011NM</v>
      </c>
    </row>
    <row r="64" spans="1:4" x14ac:dyDescent="0.25">
      <c r="A64" t="s">
        <v>84</v>
      </c>
      <c r="B64">
        <v>2012</v>
      </c>
      <c r="C64" s="10">
        <v>82259</v>
      </c>
      <c r="D64" t="str">
        <f t="shared" si="0"/>
        <v>2012NM</v>
      </c>
    </row>
    <row r="65" spans="1:4" x14ac:dyDescent="0.25">
      <c r="A65" t="s">
        <v>84</v>
      </c>
      <c r="B65">
        <v>2013</v>
      </c>
      <c r="C65" s="10">
        <v>75814</v>
      </c>
      <c r="D65" t="str">
        <f t="shared" si="0"/>
        <v>2013NM</v>
      </c>
    </row>
    <row r="66" spans="1:4" x14ac:dyDescent="0.25">
      <c r="A66" t="s">
        <v>84</v>
      </c>
      <c r="B66">
        <v>2014</v>
      </c>
      <c r="C66" s="10">
        <v>83563</v>
      </c>
      <c r="D66" t="str">
        <f t="shared" si="0"/>
        <v>2014NM</v>
      </c>
    </row>
    <row r="67" spans="1:4" x14ac:dyDescent="0.25">
      <c r="A67" t="s">
        <v>84</v>
      </c>
      <c r="B67">
        <v>2015</v>
      </c>
      <c r="C67" s="10">
        <v>78340</v>
      </c>
      <c r="D67" t="str">
        <f t="shared" ref="D67:D130" si="1">B67 &amp;A67</f>
        <v>2015NM</v>
      </c>
    </row>
    <row r="68" spans="1:4" x14ac:dyDescent="0.25">
      <c r="A68" t="s">
        <v>85</v>
      </c>
      <c r="B68">
        <v>2005</v>
      </c>
      <c r="C68" s="10">
        <v>67274</v>
      </c>
      <c r="D68" t="str">
        <f t="shared" si="1"/>
        <v>2005TX</v>
      </c>
    </row>
    <row r="69" spans="1:4" x14ac:dyDescent="0.25">
      <c r="A69" t="s">
        <v>85</v>
      </c>
      <c r="B69">
        <v>2006</v>
      </c>
      <c r="C69" s="10">
        <v>70199</v>
      </c>
      <c r="D69" t="str">
        <f t="shared" si="1"/>
        <v>2006TX</v>
      </c>
    </row>
    <row r="70" spans="1:4" x14ac:dyDescent="0.25">
      <c r="A70" t="s">
        <v>85</v>
      </c>
      <c r="B70">
        <v>2007</v>
      </c>
      <c r="C70" s="10">
        <v>72900</v>
      </c>
      <c r="D70" t="str">
        <f t="shared" si="1"/>
        <v>2007TX</v>
      </c>
    </row>
    <row r="71" spans="1:4" x14ac:dyDescent="0.25">
      <c r="A71" t="s">
        <v>85</v>
      </c>
      <c r="B71">
        <v>2008</v>
      </c>
      <c r="C71" s="10">
        <v>75295</v>
      </c>
      <c r="D71" t="str">
        <f t="shared" si="1"/>
        <v>2008TX</v>
      </c>
    </row>
    <row r="72" spans="1:4" x14ac:dyDescent="0.25">
      <c r="A72" t="s">
        <v>85</v>
      </c>
      <c r="B72">
        <v>2009</v>
      </c>
      <c r="C72" s="10">
        <v>78027</v>
      </c>
      <c r="D72" t="str">
        <f t="shared" si="1"/>
        <v>2009TX</v>
      </c>
    </row>
    <row r="73" spans="1:4" x14ac:dyDescent="0.25">
      <c r="A73" t="s">
        <v>85</v>
      </c>
      <c r="B73">
        <v>2010</v>
      </c>
      <c r="C73" s="10">
        <v>78438</v>
      </c>
      <c r="D73" t="str">
        <f t="shared" si="1"/>
        <v>2010TX</v>
      </c>
    </row>
    <row r="74" spans="1:4" x14ac:dyDescent="0.25">
      <c r="A74" t="s">
        <v>85</v>
      </c>
      <c r="B74">
        <v>2011</v>
      </c>
      <c r="C74" s="10">
        <v>83751</v>
      </c>
      <c r="D74" t="str">
        <f t="shared" si="1"/>
        <v>2011TX</v>
      </c>
    </row>
    <row r="75" spans="1:4" x14ac:dyDescent="0.25">
      <c r="A75" t="s">
        <v>85</v>
      </c>
      <c r="B75">
        <v>2012</v>
      </c>
      <c r="C75" s="10">
        <v>85672</v>
      </c>
      <c r="D75" t="str">
        <f t="shared" si="1"/>
        <v>2012TX</v>
      </c>
    </row>
    <row r="76" spans="1:4" x14ac:dyDescent="0.25">
      <c r="A76" t="s">
        <v>85</v>
      </c>
      <c r="B76">
        <v>2013</v>
      </c>
      <c r="C76" s="10">
        <v>89026</v>
      </c>
      <c r="D76" t="str">
        <f t="shared" si="1"/>
        <v>2013TX</v>
      </c>
    </row>
    <row r="77" spans="1:4" x14ac:dyDescent="0.25">
      <c r="A77" t="s">
        <v>85</v>
      </c>
      <c r="B77">
        <v>2014</v>
      </c>
      <c r="C77" s="10">
        <v>89793</v>
      </c>
      <c r="D77" t="str">
        <f t="shared" si="1"/>
        <v>2014TX</v>
      </c>
    </row>
    <row r="78" spans="1:4" x14ac:dyDescent="0.25">
      <c r="A78" t="s">
        <v>85</v>
      </c>
      <c r="B78">
        <v>2015</v>
      </c>
      <c r="C78" s="10">
        <v>92389</v>
      </c>
      <c r="D78" t="str">
        <f t="shared" si="1"/>
        <v>2015TX</v>
      </c>
    </row>
    <row r="79" spans="1:4" x14ac:dyDescent="0.25">
      <c r="A79" t="s">
        <v>86</v>
      </c>
      <c r="B79">
        <v>2005</v>
      </c>
      <c r="C79" s="10">
        <v>57746</v>
      </c>
      <c r="D79" t="str">
        <f t="shared" si="1"/>
        <v>2005OK</v>
      </c>
    </row>
    <row r="80" spans="1:4" x14ac:dyDescent="0.25">
      <c r="A80" t="s">
        <v>86</v>
      </c>
      <c r="B80">
        <v>2006</v>
      </c>
      <c r="C80" s="10">
        <v>57508</v>
      </c>
      <c r="D80" t="str">
        <f t="shared" si="1"/>
        <v>2006OK</v>
      </c>
    </row>
    <row r="81" spans="1:4" x14ac:dyDescent="0.25">
      <c r="A81" t="s">
        <v>86</v>
      </c>
      <c r="B81">
        <v>2007</v>
      </c>
      <c r="C81" s="10">
        <v>63775</v>
      </c>
      <c r="D81" t="str">
        <f t="shared" si="1"/>
        <v>2007OK</v>
      </c>
    </row>
    <row r="82" spans="1:4" x14ac:dyDescent="0.25">
      <c r="A82" t="s">
        <v>86</v>
      </c>
      <c r="B82">
        <v>2008</v>
      </c>
      <c r="C82" s="10">
        <v>62786</v>
      </c>
      <c r="D82" t="str">
        <f t="shared" si="1"/>
        <v>2008OK</v>
      </c>
    </row>
    <row r="83" spans="1:4" x14ac:dyDescent="0.25">
      <c r="A83" t="s">
        <v>86</v>
      </c>
      <c r="B83">
        <v>2009</v>
      </c>
      <c r="C83" s="10">
        <v>61706</v>
      </c>
      <c r="D83" t="str">
        <f t="shared" si="1"/>
        <v>2009OK</v>
      </c>
    </row>
    <row r="84" spans="1:4" x14ac:dyDescent="0.25">
      <c r="A84" t="s">
        <v>86</v>
      </c>
      <c r="B84">
        <v>2010</v>
      </c>
      <c r="C84" s="10">
        <v>59794</v>
      </c>
      <c r="D84" t="str">
        <f t="shared" si="1"/>
        <v>2010OK</v>
      </c>
    </row>
    <row r="85" spans="1:4" x14ac:dyDescent="0.25">
      <c r="A85" t="s">
        <v>86</v>
      </c>
      <c r="B85">
        <v>2011</v>
      </c>
      <c r="C85" s="10">
        <v>71040</v>
      </c>
      <c r="D85" t="str">
        <f t="shared" si="1"/>
        <v>2011OK</v>
      </c>
    </row>
    <row r="86" spans="1:4" x14ac:dyDescent="0.25">
      <c r="A86" t="s">
        <v>86</v>
      </c>
      <c r="B86">
        <v>2012</v>
      </c>
      <c r="C86" s="10">
        <v>74062</v>
      </c>
      <c r="D86" t="str">
        <f t="shared" si="1"/>
        <v>2012OK</v>
      </c>
    </row>
    <row r="87" spans="1:4" x14ac:dyDescent="0.25">
      <c r="A87" t="s">
        <v>86</v>
      </c>
      <c r="B87">
        <v>2013</v>
      </c>
      <c r="C87" s="10">
        <v>77464</v>
      </c>
      <c r="D87" t="str">
        <f t="shared" si="1"/>
        <v>2013OK</v>
      </c>
    </row>
    <row r="88" spans="1:4" x14ac:dyDescent="0.25">
      <c r="A88" t="s">
        <v>86</v>
      </c>
      <c r="B88">
        <v>2014</v>
      </c>
      <c r="C88" s="10">
        <v>72637</v>
      </c>
      <c r="D88" t="str">
        <f t="shared" si="1"/>
        <v>2014OK</v>
      </c>
    </row>
    <row r="89" spans="1:4" x14ac:dyDescent="0.25">
      <c r="A89" t="s">
        <v>86</v>
      </c>
      <c r="B89">
        <v>2015</v>
      </c>
      <c r="C89" s="10">
        <v>81114</v>
      </c>
      <c r="D89" t="str">
        <f t="shared" si="1"/>
        <v>2015OK</v>
      </c>
    </row>
    <row r="90" spans="1:4" x14ac:dyDescent="0.25">
      <c r="A90" t="s">
        <v>87</v>
      </c>
      <c r="B90">
        <v>2005</v>
      </c>
      <c r="C90" s="10">
        <v>63744</v>
      </c>
      <c r="D90" t="str">
        <f t="shared" si="1"/>
        <v>2005KS</v>
      </c>
    </row>
    <row r="91" spans="1:4" x14ac:dyDescent="0.25">
      <c r="A91" t="s">
        <v>87</v>
      </c>
      <c r="B91">
        <v>2006</v>
      </c>
      <c r="C91" s="10">
        <v>64844</v>
      </c>
      <c r="D91" t="str">
        <f t="shared" si="1"/>
        <v>2006KS</v>
      </c>
    </row>
    <row r="92" spans="1:4" x14ac:dyDescent="0.25">
      <c r="A92" t="s">
        <v>87</v>
      </c>
      <c r="B92">
        <v>2007</v>
      </c>
      <c r="C92" s="10">
        <v>67657</v>
      </c>
      <c r="D92" t="str">
        <f t="shared" si="1"/>
        <v>2007KS</v>
      </c>
    </row>
    <row r="93" spans="1:4" x14ac:dyDescent="0.25">
      <c r="A93" t="s">
        <v>87</v>
      </c>
      <c r="B93">
        <v>2008</v>
      </c>
      <c r="C93" s="10">
        <v>71686</v>
      </c>
      <c r="D93" t="str">
        <f t="shared" si="1"/>
        <v>2008KS</v>
      </c>
    </row>
    <row r="94" spans="1:4" x14ac:dyDescent="0.25">
      <c r="A94" t="s">
        <v>87</v>
      </c>
      <c r="B94">
        <v>2009</v>
      </c>
      <c r="C94" s="10">
        <v>77761</v>
      </c>
      <c r="D94" t="str">
        <f t="shared" si="1"/>
        <v>2009KS</v>
      </c>
    </row>
    <row r="95" spans="1:4" x14ac:dyDescent="0.25">
      <c r="A95" t="s">
        <v>87</v>
      </c>
      <c r="B95">
        <v>2010</v>
      </c>
      <c r="C95" s="10">
        <v>67641</v>
      </c>
      <c r="D95" t="str">
        <f t="shared" si="1"/>
        <v>2010KS</v>
      </c>
    </row>
    <row r="96" spans="1:4" x14ac:dyDescent="0.25">
      <c r="A96" t="s">
        <v>87</v>
      </c>
      <c r="B96">
        <v>2011</v>
      </c>
      <c r="C96" s="10">
        <v>72419</v>
      </c>
      <c r="D96" t="str">
        <f t="shared" si="1"/>
        <v>2011KS</v>
      </c>
    </row>
    <row r="97" spans="1:4" x14ac:dyDescent="0.25">
      <c r="A97" t="s">
        <v>87</v>
      </c>
      <c r="B97">
        <v>2012</v>
      </c>
      <c r="C97" s="10">
        <v>76333</v>
      </c>
      <c r="D97" t="str">
        <f t="shared" si="1"/>
        <v>2012KS</v>
      </c>
    </row>
    <row r="98" spans="1:4" x14ac:dyDescent="0.25">
      <c r="A98" t="s">
        <v>87</v>
      </c>
      <c r="B98">
        <v>2013</v>
      </c>
      <c r="C98" s="10">
        <v>77022</v>
      </c>
      <c r="D98" t="str">
        <f t="shared" si="1"/>
        <v>2013KS</v>
      </c>
    </row>
    <row r="99" spans="1:4" x14ac:dyDescent="0.25">
      <c r="A99" t="s">
        <v>87</v>
      </c>
      <c r="B99">
        <v>2014</v>
      </c>
      <c r="C99" s="10">
        <v>72791</v>
      </c>
      <c r="D99" t="str">
        <f t="shared" si="1"/>
        <v>2014KS</v>
      </c>
    </row>
    <row r="100" spans="1:4" x14ac:dyDescent="0.25">
      <c r="A100" t="s">
        <v>87</v>
      </c>
      <c r="B100">
        <v>2015</v>
      </c>
      <c r="C100" s="10">
        <v>87212</v>
      </c>
      <c r="D100" t="str">
        <f t="shared" si="1"/>
        <v>2015KS</v>
      </c>
    </row>
    <row r="101" spans="1:4" x14ac:dyDescent="0.25">
      <c r="A101" t="s">
        <v>88</v>
      </c>
      <c r="B101">
        <v>2005</v>
      </c>
      <c r="C101" s="10">
        <v>57927</v>
      </c>
      <c r="D101" t="str">
        <f t="shared" si="1"/>
        <v>2005NE</v>
      </c>
    </row>
    <row r="102" spans="1:4" x14ac:dyDescent="0.25">
      <c r="A102" t="s">
        <v>88</v>
      </c>
      <c r="B102">
        <v>2006</v>
      </c>
      <c r="C102" s="10">
        <v>62608</v>
      </c>
      <c r="D102" t="str">
        <f t="shared" si="1"/>
        <v>2006NE</v>
      </c>
    </row>
    <row r="103" spans="1:4" x14ac:dyDescent="0.25">
      <c r="A103" t="s">
        <v>88</v>
      </c>
      <c r="B103">
        <v>2007</v>
      </c>
      <c r="C103" s="10">
        <v>69851</v>
      </c>
      <c r="D103" t="str">
        <f t="shared" si="1"/>
        <v>2007NE</v>
      </c>
    </row>
    <row r="104" spans="1:4" x14ac:dyDescent="0.25">
      <c r="A104" t="s">
        <v>88</v>
      </c>
      <c r="B104">
        <v>2008</v>
      </c>
      <c r="C104" s="10">
        <v>69237</v>
      </c>
      <c r="D104" t="str">
        <f t="shared" si="1"/>
        <v>2008NE</v>
      </c>
    </row>
    <row r="105" spans="1:4" x14ac:dyDescent="0.25">
      <c r="A105" t="s">
        <v>88</v>
      </c>
      <c r="B105">
        <v>2009</v>
      </c>
      <c r="C105" s="10">
        <v>70109</v>
      </c>
      <c r="D105" t="str">
        <f t="shared" si="1"/>
        <v>2009NE</v>
      </c>
    </row>
    <row r="106" spans="1:4" x14ac:dyDescent="0.25">
      <c r="A106" t="s">
        <v>88</v>
      </c>
      <c r="B106">
        <v>2010</v>
      </c>
      <c r="C106" s="10">
        <v>72889</v>
      </c>
      <c r="D106" t="str">
        <f t="shared" si="1"/>
        <v>2010NE</v>
      </c>
    </row>
    <row r="107" spans="1:4" x14ac:dyDescent="0.25">
      <c r="A107" t="s">
        <v>88</v>
      </c>
      <c r="B107">
        <v>2011</v>
      </c>
      <c r="C107" s="10">
        <v>76280</v>
      </c>
      <c r="D107" t="str">
        <f t="shared" si="1"/>
        <v>2011NE</v>
      </c>
    </row>
    <row r="108" spans="1:4" x14ac:dyDescent="0.25">
      <c r="A108" t="s">
        <v>88</v>
      </c>
      <c r="B108">
        <v>2012</v>
      </c>
      <c r="C108" s="10">
        <v>75477</v>
      </c>
      <c r="D108" t="str">
        <f t="shared" si="1"/>
        <v>2012NE</v>
      </c>
    </row>
    <row r="109" spans="1:4" x14ac:dyDescent="0.25">
      <c r="A109" t="s">
        <v>88</v>
      </c>
      <c r="B109">
        <v>2013</v>
      </c>
      <c r="C109" s="10">
        <v>73980</v>
      </c>
      <c r="D109" t="str">
        <f t="shared" si="1"/>
        <v>2013NE</v>
      </c>
    </row>
    <row r="110" spans="1:4" x14ac:dyDescent="0.25">
      <c r="A110" t="s">
        <v>88</v>
      </c>
      <c r="B110">
        <v>2014</v>
      </c>
      <c r="C110" s="10">
        <v>79495</v>
      </c>
      <c r="D110" t="str">
        <f t="shared" si="1"/>
        <v>2014NE</v>
      </c>
    </row>
    <row r="111" spans="1:4" x14ac:dyDescent="0.25">
      <c r="A111" t="s">
        <v>88</v>
      </c>
      <c r="B111">
        <v>2015</v>
      </c>
      <c r="C111" s="10">
        <v>81890</v>
      </c>
      <c r="D111" t="str">
        <f t="shared" si="1"/>
        <v>2015NE</v>
      </c>
    </row>
    <row r="112" spans="1:4" x14ac:dyDescent="0.25">
      <c r="A112" t="s">
        <v>89</v>
      </c>
      <c r="B112">
        <v>2005</v>
      </c>
      <c r="C112" s="10">
        <v>52230</v>
      </c>
      <c r="D112" t="str">
        <f t="shared" si="1"/>
        <v>2005SD</v>
      </c>
    </row>
    <row r="113" spans="1:4" x14ac:dyDescent="0.25">
      <c r="A113" t="s">
        <v>89</v>
      </c>
      <c r="B113">
        <v>2006</v>
      </c>
      <c r="C113" s="10">
        <v>65576</v>
      </c>
      <c r="D113" t="str">
        <f t="shared" si="1"/>
        <v>2006SD</v>
      </c>
    </row>
    <row r="114" spans="1:4" x14ac:dyDescent="0.25">
      <c r="A114" t="s">
        <v>89</v>
      </c>
      <c r="B114">
        <v>2007</v>
      </c>
      <c r="C114" s="10">
        <v>52933</v>
      </c>
      <c r="D114" t="str">
        <f t="shared" si="1"/>
        <v>2007SD</v>
      </c>
    </row>
    <row r="115" spans="1:4" x14ac:dyDescent="0.25">
      <c r="A115" t="s">
        <v>89</v>
      </c>
      <c r="B115">
        <v>2008</v>
      </c>
      <c r="C115" s="10">
        <v>62002</v>
      </c>
      <c r="D115" t="str">
        <f t="shared" si="1"/>
        <v>2008SD</v>
      </c>
    </row>
    <row r="116" spans="1:4" x14ac:dyDescent="0.25">
      <c r="A116" t="s">
        <v>89</v>
      </c>
      <c r="B116">
        <v>2009</v>
      </c>
      <c r="C116" s="10">
        <v>53584</v>
      </c>
      <c r="D116" t="str">
        <f t="shared" si="1"/>
        <v>2009SD</v>
      </c>
    </row>
    <row r="117" spans="1:4" x14ac:dyDescent="0.25">
      <c r="A117" t="s">
        <v>89</v>
      </c>
      <c r="B117">
        <v>2010</v>
      </c>
      <c r="C117" s="10">
        <v>53759</v>
      </c>
      <c r="D117" t="str">
        <f t="shared" si="1"/>
        <v>2010SD</v>
      </c>
    </row>
    <row r="118" spans="1:4" x14ac:dyDescent="0.25">
      <c r="A118" t="s">
        <v>89</v>
      </c>
      <c r="B118">
        <v>2011</v>
      </c>
      <c r="C118" s="10">
        <v>53726</v>
      </c>
      <c r="D118" t="str">
        <f t="shared" si="1"/>
        <v>2011SD</v>
      </c>
    </row>
    <row r="119" spans="1:4" x14ac:dyDescent="0.25">
      <c r="A119" t="s">
        <v>89</v>
      </c>
      <c r="B119">
        <v>2012</v>
      </c>
      <c r="C119" s="10">
        <v>57572</v>
      </c>
      <c r="D119" t="str">
        <f t="shared" si="1"/>
        <v>2012SD</v>
      </c>
    </row>
    <row r="120" spans="1:4" x14ac:dyDescent="0.25">
      <c r="A120" t="s">
        <v>89</v>
      </c>
      <c r="B120">
        <v>2013</v>
      </c>
      <c r="C120" s="10">
        <v>60515</v>
      </c>
      <c r="D120" t="str">
        <f t="shared" si="1"/>
        <v>2013SD</v>
      </c>
    </row>
    <row r="121" spans="1:4" x14ac:dyDescent="0.25">
      <c r="A121" t="s">
        <v>89</v>
      </c>
      <c r="B121">
        <v>2014</v>
      </c>
      <c r="C121" s="10">
        <v>71682</v>
      </c>
      <c r="D121" t="str">
        <f t="shared" si="1"/>
        <v>2014SD</v>
      </c>
    </row>
    <row r="122" spans="1:4" x14ac:dyDescent="0.25">
      <c r="A122" t="s">
        <v>89</v>
      </c>
      <c r="B122">
        <v>2015</v>
      </c>
      <c r="C122" s="10">
        <v>69922</v>
      </c>
      <c r="D122" t="str">
        <f t="shared" si="1"/>
        <v>2015SD</v>
      </c>
    </row>
    <row r="123" spans="1:4" x14ac:dyDescent="0.25">
      <c r="A123" t="s">
        <v>90</v>
      </c>
      <c r="B123">
        <v>2005</v>
      </c>
      <c r="C123" s="10">
        <v>49332</v>
      </c>
      <c r="D123" t="str">
        <f t="shared" si="1"/>
        <v>2005ND</v>
      </c>
    </row>
    <row r="124" spans="1:4" x14ac:dyDescent="0.25">
      <c r="A124" t="s">
        <v>90</v>
      </c>
      <c r="B124">
        <v>2006</v>
      </c>
      <c r="C124" s="10">
        <v>46571</v>
      </c>
      <c r="D124" t="str">
        <f t="shared" si="1"/>
        <v>2006ND</v>
      </c>
    </row>
    <row r="125" spans="1:4" x14ac:dyDescent="0.25">
      <c r="A125" t="s">
        <v>90</v>
      </c>
      <c r="B125">
        <v>2007</v>
      </c>
      <c r="C125" s="10">
        <v>42278</v>
      </c>
      <c r="D125" t="str">
        <f t="shared" si="1"/>
        <v>2007ND</v>
      </c>
    </row>
    <row r="126" spans="1:4" x14ac:dyDescent="0.25">
      <c r="A126" t="s">
        <v>90</v>
      </c>
      <c r="B126">
        <v>2008</v>
      </c>
      <c r="C126" s="10">
        <v>43049</v>
      </c>
      <c r="D126" t="str">
        <f t="shared" si="1"/>
        <v>2008ND</v>
      </c>
    </row>
    <row r="127" spans="1:4" x14ac:dyDescent="0.25">
      <c r="A127" t="s">
        <v>90</v>
      </c>
      <c r="B127">
        <v>2009</v>
      </c>
      <c r="C127" s="10">
        <v>61046</v>
      </c>
      <c r="D127" t="str">
        <f t="shared" si="1"/>
        <v>2009ND</v>
      </c>
    </row>
    <row r="128" spans="1:4" x14ac:dyDescent="0.25">
      <c r="A128" t="s">
        <v>90</v>
      </c>
      <c r="B128">
        <v>2010</v>
      </c>
      <c r="C128" s="10">
        <v>44264</v>
      </c>
      <c r="D128" t="str">
        <f t="shared" si="1"/>
        <v>2010ND</v>
      </c>
    </row>
    <row r="129" spans="1:4" x14ac:dyDescent="0.25">
      <c r="A129" t="s">
        <v>90</v>
      </c>
      <c r="B129">
        <v>2011</v>
      </c>
      <c r="C129" s="10">
        <v>69215</v>
      </c>
      <c r="D129" t="str">
        <f t="shared" si="1"/>
        <v>2011ND</v>
      </c>
    </row>
    <row r="130" spans="1:4" x14ac:dyDescent="0.25">
      <c r="A130" t="s">
        <v>90</v>
      </c>
      <c r="B130">
        <v>2012</v>
      </c>
      <c r="C130" s="10">
        <v>70288</v>
      </c>
      <c r="D130" t="str">
        <f t="shared" si="1"/>
        <v>2012ND</v>
      </c>
    </row>
    <row r="131" spans="1:4" x14ac:dyDescent="0.25">
      <c r="A131" t="s">
        <v>90</v>
      </c>
      <c r="B131">
        <v>2013</v>
      </c>
      <c r="C131" s="10">
        <v>68350</v>
      </c>
      <c r="D131" t="str">
        <f t="shared" ref="D131:D194" si="2">B131 &amp;A131</f>
        <v>2013ND</v>
      </c>
    </row>
    <row r="132" spans="1:4" x14ac:dyDescent="0.25">
      <c r="A132" t="s">
        <v>90</v>
      </c>
      <c r="B132">
        <v>2014</v>
      </c>
      <c r="C132" s="10">
        <v>64550</v>
      </c>
      <c r="D132" t="str">
        <f t="shared" si="2"/>
        <v>2014ND</v>
      </c>
    </row>
    <row r="133" spans="1:4" x14ac:dyDescent="0.25">
      <c r="A133" t="s">
        <v>90</v>
      </c>
      <c r="B133">
        <v>2015</v>
      </c>
      <c r="C133" s="10">
        <v>81192</v>
      </c>
      <c r="D133" t="str">
        <f t="shared" si="2"/>
        <v>2015ND</v>
      </c>
    </row>
    <row r="134" spans="1:4" x14ac:dyDescent="0.25">
      <c r="A134" t="s">
        <v>91</v>
      </c>
      <c r="B134">
        <v>2005</v>
      </c>
      <c r="C134" s="10">
        <v>41553</v>
      </c>
      <c r="D134" t="str">
        <f t="shared" si="2"/>
        <v>2005MT</v>
      </c>
    </row>
    <row r="135" spans="1:4" x14ac:dyDescent="0.25">
      <c r="A135" t="s">
        <v>91</v>
      </c>
      <c r="B135">
        <v>2006</v>
      </c>
      <c r="C135" s="10">
        <v>52280</v>
      </c>
      <c r="D135" t="str">
        <f t="shared" si="2"/>
        <v>2006MT</v>
      </c>
    </row>
    <row r="136" spans="1:4" x14ac:dyDescent="0.25">
      <c r="A136" t="s">
        <v>91</v>
      </c>
      <c r="B136">
        <v>2007</v>
      </c>
      <c r="C136" s="10">
        <v>57069</v>
      </c>
      <c r="D136" t="str">
        <f t="shared" si="2"/>
        <v>2007MT</v>
      </c>
    </row>
    <row r="137" spans="1:4" x14ac:dyDescent="0.25">
      <c r="A137" t="s">
        <v>91</v>
      </c>
      <c r="B137">
        <v>2008</v>
      </c>
      <c r="C137" s="10">
        <v>68635</v>
      </c>
      <c r="D137" t="str">
        <f t="shared" si="2"/>
        <v>2008MT</v>
      </c>
    </row>
    <row r="138" spans="1:4" x14ac:dyDescent="0.25">
      <c r="A138" t="s">
        <v>91</v>
      </c>
      <c r="B138">
        <v>2009</v>
      </c>
      <c r="C138" s="10">
        <v>61096</v>
      </c>
      <c r="D138" t="str">
        <f t="shared" si="2"/>
        <v>2009MT</v>
      </c>
    </row>
    <row r="139" spans="1:4" x14ac:dyDescent="0.25">
      <c r="A139" t="s">
        <v>91</v>
      </c>
      <c r="B139">
        <v>2010</v>
      </c>
      <c r="C139" s="10">
        <v>57421</v>
      </c>
      <c r="D139" t="str">
        <f t="shared" si="2"/>
        <v>2010MT</v>
      </c>
    </row>
    <row r="140" spans="1:4" x14ac:dyDescent="0.25">
      <c r="A140" t="s">
        <v>91</v>
      </c>
      <c r="B140">
        <v>2011</v>
      </c>
      <c r="C140" s="10">
        <v>51123</v>
      </c>
      <c r="D140" t="str">
        <f t="shared" si="2"/>
        <v>2011MT</v>
      </c>
    </row>
    <row r="141" spans="1:4" x14ac:dyDescent="0.25">
      <c r="A141" t="s">
        <v>91</v>
      </c>
      <c r="B141">
        <v>2012</v>
      </c>
      <c r="C141" s="10">
        <v>60037</v>
      </c>
      <c r="D141" t="str">
        <f t="shared" si="2"/>
        <v>2012MT</v>
      </c>
    </row>
    <row r="142" spans="1:4" x14ac:dyDescent="0.25">
      <c r="A142" t="s">
        <v>91</v>
      </c>
      <c r="B142">
        <v>2013</v>
      </c>
      <c r="C142" s="10">
        <v>79220</v>
      </c>
      <c r="D142" t="str">
        <f t="shared" si="2"/>
        <v>2013MT</v>
      </c>
    </row>
    <row r="143" spans="1:4" x14ac:dyDescent="0.25">
      <c r="A143" t="s">
        <v>91</v>
      </c>
      <c r="B143">
        <v>2014</v>
      </c>
      <c r="C143" s="10">
        <v>67820</v>
      </c>
      <c r="D143" t="str">
        <f t="shared" si="2"/>
        <v>2014MT</v>
      </c>
    </row>
    <row r="144" spans="1:4" x14ac:dyDescent="0.25">
      <c r="A144" t="s">
        <v>91</v>
      </c>
      <c r="B144">
        <v>2015</v>
      </c>
      <c r="C144" s="10">
        <v>67046</v>
      </c>
      <c r="D144" t="str">
        <f t="shared" si="2"/>
        <v>2015MT</v>
      </c>
    </row>
    <row r="145" spans="1:4" x14ac:dyDescent="0.25">
      <c r="A145" t="s">
        <v>92</v>
      </c>
      <c r="B145">
        <v>2005</v>
      </c>
      <c r="C145" s="10">
        <v>58879</v>
      </c>
      <c r="D145" t="str">
        <f t="shared" si="2"/>
        <v>2005ID</v>
      </c>
    </row>
    <row r="146" spans="1:4" x14ac:dyDescent="0.25">
      <c r="A146" t="s">
        <v>92</v>
      </c>
      <c r="B146">
        <v>2006</v>
      </c>
      <c r="C146" s="10">
        <v>65962</v>
      </c>
      <c r="D146" t="str">
        <f t="shared" si="2"/>
        <v>2006ID</v>
      </c>
    </row>
    <row r="147" spans="1:4" x14ac:dyDescent="0.25">
      <c r="A147" t="s">
        <v>92</v>
      </c>
      <c r="B147">
        <v>2007</v>
      </c>
      <c r="C147" s="10">
        <v>63394</v>
      </c>
      <c r="D147" t="str">
        <f t="shared" si="2"/>
        <v>2007ID</v>
      </c>
    </row>
    <row r="148" spans="1:4" x14ac:dyDescent="0.25">
      <c r="A148" t="s">
        <v>92</v>
      </c>
      <c r="B148">
        <v>2008</v>
      </c>
      <c r="C148" s="10">
        <v>58993</v>
      </c>
      <c r="D148" t="str">
        <f t="shared" si="2"/>
        <v>2008ID</v>
      </c>
    </row>
    <row r="149" spans="1:4" x14ac:dyDescent="0.25">
      <c r="A149" t="s">
        <v>92</v>
      </c>
      <c r="B149">
        <v>2009</v>
      </c>
      <c r="C149" s="10">
        <v>67832</v>
      </c>
      <c r="D149" t="str">
        <f t="shared" si="2"/>
        <v>2009ID</v>
      </c>
    </row>
    <row r="150" spans="1:4" x14ac:dyDescent="0.25">
      <c r="A150" t="s">
        <v>92</v>
      </c>
      <c r="B150">
        <v>2010</v>
      </c>
      <c r="C150" s="10">
        <v>60326</v>
      </c>
      <c r="D150" t="str">
        <f t="shared" si="2"/>
        <v>2010ID</v>
      </c>
    </row>
    <row r="151" spans="1:4" x14ac:dyDescent="0.25">
      <c r="A151" t="s">
        <v>92</v>
      </c>
      <c r="B151">
        <v>2011</v>
      </c>
      <c r="C151" s="10">
        <v>66700</v>
      </c>
      <c r="D151" t="str">
        <f t="shared" si="2"/>
        <v>2011ID</v>
      </c>
    </row>
    <row r="152" spans="1:4" x14ac:dyDescent="0.25">
      <c r="A152" t="s">
        <v>92</v>
      </c>
      <c r="B152">
        <v>2012</v>
      </c>
      <c r="C152" s="10">
        <v>71784</v>
      </c>
      <c r="D152" t="str">
        <f t="shared" si="2"/>
        <v>2012ID</v>
      </c>
    </row>
    <row r="153" spans="1:4" x14ac:dyDescent="0.25">
      <c r="A153" t="s">
        <v>92</v>
      </c>
      <c r="B153">
        <v>2013</v>
      </c>
      <c r="C153" s="10">
        <v>75815</v>
      </c>
      <c r="D153" t="str">
        <f t="shared" si="2"/>
        <v>2013ID</v>
      </c>
    </row>
    <row r="154" spans="1:4" x14ac:dyDescent="0.25">
      <c r="A154" t="s">
        <v>92</v>
      </c>
      <c r="B154">
        <v>2014</v>
      </c>
      <c r="C154" s="10">
        <v>79739</v>
      </c>
      <c r="D154" t="str">
        <f t="shared" si="2"/>
        <v>2014ID</v>
      </c>
    </row>
    <row r="155" spans="1:4" x14ac:dyDescent="0.25">
      <c r="A155" t="s">
        <v>92</v>
      </c>
      <c r="B155">
        <v>2015</v>
      </c>
      <c r="C155" s="10">
        <v>85452</v>
      </c>
      <c r="D155" t="str">
        <f t="shared" si="2"/>
        <v>2015ID</v>
      </c>
    </row>
    <row r="156" spans="1:4" x14ac:dyDescent="0.25">
      <c r="A156" t="s">
        <v>93</v>
      </c>
      <c r="B156">
        <v>2005</v>
      </c>
      <c r="C156" s="10">
        <v>60321</v>
      </c>
      <c r="D156" t="str">
        <f t="shared" si="2"/>
        <v>2005UT</v>
      </c>
    </row>
    <row r="157" spans="1:4" x14ac:dyDescent="0.25">
      <c r="A157" t="s">
        <v>93</v>
      </c>
      <c r="B157">
        <v>2006</v>
      </c>
      <c r="C157" s="10">
        <v>64124</v>
      </c>
      <c r="D157" t="str">
        <f t="shared" si="2"/>
        <v>2006UT</v>
      </c>
    </row>
    <row r="158" spans="1:4" x14ac:dyDescent="0.25">
      <c r="A158" t="s">
        <v>93</v>
      </c>
      <c r="B158">
        <v>2007</v>
      </c>
      <c r="C158" s="10">
        <v>65396</v>
      </c>
      <c r="D158" t="str">
        <f t="shared" si="2"/>
        <v>2007UT</v>
      </c>
    </row>
    <row r="159" spans="1:4" x14ac:dyDescent="0.25">
      <c r="A159" t="s">
        <v>93</v>
      </c>
      <c r="B159">
        <v>2008</v>
      </c>
      <c r="C159" s="10">
        <v>70730</v>
      </c>
      <c r="D159" t="str">
        <f t="shared" si="2"/>
        <v>2008UT</v>
      </c>
    </row>
    <row r="160" spans="1:4" x14ac:dyDescent="0.25">
      <c r="A160" t="s">
        <v>93</v>
      </c>
      <c r="B160">
        <v>2009</v>
      </c>
      <c r="C160" s="10">
        <v>74312</v>
      </c>
      <c r="D160" t="str">
        <f t="shared" si="2"/>
        <v>2009UT</v>
      </c>
    </row>
    <row r="161" spans="1:4" x14ac:dyDescent="0.25">
      <c r="A161" t="s">
        <v>93</v>
      </c>
      <c r="B161">
        <v>2010</v>
      </c>
      <c r="C161" s="10">
        <v>70450</v>
      </c>
      <c r="D161" t="str">
        <f t="shared" si="2"/>
        <v>2010UT</v>
      </c>
    </row>
    <row r="162" spans="1:4" x14ac:dyDescent="0.25">
      <c r="A162" t="s">
        <v>93</v>
      </c>
      <c r="B162">
        <v>2011</v>
      </c>
      <c r="C162" s="10">
        <v>74318</v>
      </c>
      <c r="D162" t="str">
        <f t="shared" si="2"/>
        <v>2011UT</v>
      </c>
    </row>
    <row r="163" spans="1:4" x14ac:dyDescent="0.25">
      <c r="A163" t="s">
        <v>93</v>
      </c>
      <c r="B163">
        <v>2012</v>
      </c>
      <c r="C163" s="10">
        <v>81548</v>
      </c>
      <c r="D163" t="str">
        <f t="shared" si="2"/>
        <v>2012UT</v>
      </c>
    </row>
    <row r="164" spans="1:4" x14ac:dyDescent="0.25">
      <c r="A164" t="s">
        <v>93</v>
      </c>
      <c r="B164">
        <v>2013</v>
      </c>
      <c r="C164" s="10">
        <v>89199</v>
      </c>
      <c r="D164" t="str">
        <f t="shared" si="2"/>
        <v>2013UT</v>
      </c>
    </row>
    <row r="165" spans="1:4" x14ac:dyDescent="0.25">
      <c r="A165" t="s">
        <v>93</v>
      </c>
      <c r="B165">
        <v>2014</v>
      </c>
      <c r="C165" s="10">
        <v>87343</v>
      </c>
      <c r="D165" t="str">
        <f t="shared" si="2"/>
        <v>2014UT</v>
      </c>
    </row>
    <row r="166" spans="1:4" x14ac:dyDescent="0.25">
      <c r="A166" t="s">
        <v>93</v>
      </c>
      <c r="B166">
        <v>2015</v>
      </c>
      <c r="C166" s="10">
        <v>89205</v>
      </c>
      <c r="D166" t="str">
        <f t="shared" si="2"/>
        <v>2015UT</v>
      </c>
    </row>
    <row r="167" spans="1:4" x14ac:dyDescent="0.25">
      <c r="A167" t="s">
        <v>94</v>
      </c>
      <c r="B167">
        <v>2005</v>
      </c>
      <c r="C167" s="10">
        <v>70668</v>
      </c>
      <c r="D167" t="str">
        <f t="shared" si="2"/>
        <v>2005CO</v>
      </c>
    </row>
    <row r="168" spans="1:4" x14ac:dyDescent="0.25">
      <c r="A168" t="s">
        <v>94</v>
      </c>
      <c r="B168">
        <v>2006</v>
      </c>
      <c r="C168" s="10">
        <v>74789</v>
      </c>
      <c r="D168" t="str">
        <f t="shared" si="2"/>
        <v>2006CO</v>
      </c>
    </row>
    <row r="169" spans="1:4" x14ac:dyDescent="0.25">
      <c r="A169" t="s">
        <v>94</v>
      </c>
      <c r="B169">
        <v>2007</v>
      </c>
      <c r="C169" s="10">
        <v>75450</v>
      </c>
      <c r="D169" t="str">
        <f t="shared" si="2"/>
        <v>2007CO</v>
      </c>
    </row>
    <row r="170" spans="1:4" x14ac:dyDescent="0.25">
      <c r="A170" t="s">
        <v>94</v>
      </c>
      <c r="B170">
        <v>2008</v>
      </c>
      <c r="C170" s="10">
        <v>79432</v>
      </c>
      <c r="D170" t="str">
        <f t="shared" si="2"/>
        <v>2008CO</v>
      </c>
    </row>
    <row r="171" spans="1:4" x14ac:dyDescent="0.25">
      <c r="A171" t="s">
        <v>94</v>
      </c>
      <c r="B171">
        <v>2009</v>
      </c>
      <c r="C171" s="10">
        <v>77669</v>
      </c>
      <c r="D171" t="str">
        <f t="shared" si="2"/>
        <v>2009CO</v>
      </c>
    </row>
    <row r="172" spans="1:4" x14ac:dyDescent="0.25">
      <c r="A172" t="s">
        <v>94</v>
      </c>
      <c r="B172">
        <v>2010</v>
      </c>
      <c r="C172" s="10">
        <v>81488</v>
      </c>
      <c r="D172" t="str">
        <f t="shared" si="2"/>
        <v>2010CO</v>
      </c>
    </row>
    <row r="173" spans="1:4" x14ac:dyDescent="0.25">
      <c r="A173" t="s">
        <v>94</v>
      </c>
      <c r="B173">
        <v>2011</v>
      </c>
      <c r="C173" s="10">
        <v>86043</v>
      </c>
      <c r="D173" t="str">
        <f t="shared" si="2"/>
        <v>2011CO</v>
      </c>
    </row>
    <row r="174" spans="1:4" x14ac:dyDescent="0.25">
      <c r="A174" t="s">
        <v>94</v>
      </c>
      <c r="B174">
        <v>2012</v>
      </c>
      <c r="C174" s="10">
        <v>89144</v>
      </c>
      <c r="D174" t="str">
        <f t="shared" si="2"/>
        <v>2012CO</v>
      </c>
    </row>
    <row r="175" spans="1:4" x14ac:dyDescent="0.25">
      <c r="A175" t="s">
        <v>94</v>
      </c>
      <c r="B175">
        <v>2013</v>
      </c>
      <c r="C175" s="10">
        <v>91933</v>
      </c>
      <c r="D175" t="str">
        <f t="shared" si="2"/>
        <v>2013CO</v>
      </c>
    </row>
    <row r="176" spans="1:4" x14ac:dyDescent="0.25">
      <c r="A176" t="s">
        <v>94</v>
      </c>
      <c r="B176">
        <v>2014</v>
      </c>
      <c r="C176" s="10">
        <v>92905</v>
      </c>
      <c r="D176" t="str">
        <f t="shared" si="2"/>
        <v>2014CO</v>
      </c>
    </row>
    <row r="177" spans="1:4" x14ac:dyDescent="0.25">
      <c r="A177" t="s">
        <v>94</v>
      </c>
      <c r="B177">
        <v>2015</v>
      </c>
      <c r="C177" s="10">
        <v>98890</v>
      </c>
      <c r="D177" t="str">
        <f t="shared" si="2"/>
        <v>2015CO</v>
      </c>
    </row>
    <row r="178" spans="1:4" x14ac:dyDescent="0.25">
      <c r="A178" t="s">
        <v>95</v>
      </c>
      <c r="B178">
        <v>2005</v>
      </c>
      <c r="C178" s="10">
        <v>67343</v>
      </c>
      <c r="D178" t="str">
        <f t="shared" si="2"/>
        <v>2005WY</v>
      </c>
    </row>
    <row r="179" spans="1:4" x14ac:dyDescent="0.25">
      <c r="A179" t="s">
        <v>95</v>
      </c>
      <c r="B179">
        <v>2006</v>
      </c>
      <c r="C179" s="10">
        <v>65240</v>
      </c>
      <c r="D179" t="str">
        <f t="shared" si="2"/>
        <v>2006WY</v>
      </c>
    </row>
    <row r="180" spans="1:4" x14ac:dyDescent="0.25">
      <c r="A180" t="s">
        <v>95</v>
      </c>
      <c r="B180">
        <v>2007</v>
      </c>
      <c r="C180" s="10">
        <v>46242</v>
      </c>
      <c r="D180" t="str">
        <f t="shared" si="2"/>
        <v>2007WY</v>
      </c>
    </row>
    <row r="181" spans="1:4" x14ac:dyDescent="0.25">
      <c r="A181" t="s">
        <v>95</v>
      </c>
      <c r="B181">
        <v>2008</v>
      </c>
      <c r="C181" s="10">
        <v>47848</v>
      </c>
      <c r="D181" t="str">
        <f t="shared" si="2"/>
        <v>2008WY</v>
      </c>
    </row>
    <row r="182" spans="1:4" x14ac:dyDescent="0.25">
      <c r="A182" t="s">
        <v>95</v>
      </c>
      <c r="B182">
        <v>2009</v>
      </c>
      <c r="C182" s="10">
        <v>55459</v>
      </c>
      <c r="D182" t="str">
        <f t="shared" si="2"/>
        <v>2009WY</v>
      </c>
    </row>
    <row r="183" spans="1:4" x14ac:dyDescent="0.25">
      <c r="A183" t="s">
        <v>95</v>
      </c>
      <c r="B183">
        <v>2010</v>
      </c>
      <c r="C183" s="10">
        <v>54610</v>
      </c>
      <c r="D183" t="str">
        <f t="shared" si="2"/>
        <v>2010WY</v>
      </c>
    </row>
    <row r="184" spans="1:4" x14ac:dyDescent="0.25">
      <c r="A184" t="s">
        <v>95</v>
      </c>
      <c r="B184">
        <v>2011</v>
      </c>
      <c r="C184" s="10">
        <v>65294</v>
      </c>
      <c r="D184" t="str">
        <f t="shared" si="2"/>
        <v>2011WY</v>
      </c>
    </row>
    <row r="185" spans="1:4" x14ac:dyDescent="0.25">
      <c r="A185" t="s">
        <v>95</v>
      </c>
      <c r="B185">
        <v>2012</v>
      </c>
      <c r="C185" s="10">
        <v>75162</v>
      </c>
      <c r="D185" t="str">
        <f t="shared" si="2"/>
        <v>2012WY</v>
      </c>
    </row>
    <row r="186" spans="1:4" x14ac:dyDescent="0.25">
      <c r="A186" t="s">
        <v>95</v>
      </c>
      <c r="B186">
        <v>2013</v>
      </c>
      <c r="C186" s="10">
        <v>96984</v>
      </c>
      <c r="D186" t="str">
        <f t="shared" si="2"/>
        <v>2013WY</v>
      </c>
    </row>
    <row r="187" spans="1:4" x14ac:dyDescent="0.25">
      <c r="A187" t="s">
        <v>95</v>
      </c>
      <c r="B187">
        <v>2014</v>
      </c>
      <c r="C187" s="10">
        <v>60516</v>
      </c>
      <c r="D187" t="str">
        <f t="shared" si="2"/>
        <v>2014WY</v>
      </c>
    </row>
    <row r="188" spans="1:4" x14ac:dyDescent="0.25">
      <c r="A188" t="s">
        <v>95</v>
      </c>
      <c r="B188">
        <v>2015</v>
      </c>
      <c r="C188" s="10">
        <v>71236</v>
      </c>
      <c r="D188" t="str">
        <f t="shared" si="2"/>
        <v>2015WY</v>
      </c>
    </row>
    <row r="189" spans="1:4" x14ac:dyDescent="0.25">
      <c r="A189" t="s">
        <v>96</v>
      </c>
      <c r="B189">
        <v>2005</v>
      </c>
      <c r="C189" s="10">
        <v>56167</v>
      </c>
      <c r="D189" t="str">
        <f t="shared" si="2"/>
        <v>2005LA</v>
      </c>
    </row>
    <row r="190" spans="1:4" x14ac:dyDescent="0.25">
      <c r="A190" t="s">
        <v>96</v>
      </c>
      <c r="B190">
        <v>2006</v>
      </c>
      <c r="C190" s="10">
        <v>57792</v>
      </c>
      <c r="D190" t="str">
        <f t="shared" si="2"/>
        <v>2006LA</v>
      </c>
    </row>
    <row r="191" spans="1:4" x14ac:dyDescent="0.25">
      <c r="A191" t="s">
        <v>96</v>
      </c>
      <c r="B191">
        <v>2007</v>
      </c>
      <c r="C191" s="10">
        <v>61955</v>
      </c>
      <c r="D191" t="str">
        <f t="shared" si="2"/>
        <v>2007LA</v>
      </c>
    </row>
    <row r="192" spans="1:4" x14ac:dyDescent="0.25">
      <c r="A192" t="s">
        <v>96</v>
      </c>
      <c r="B192">
        <v>2008</v>
      </c>
      <c r="C192" s="10">
        <v>64073</v>
      </c>
      <c r="D192" t="str">
        <f t="shared" si="2"/>
        <v>2008LA</v>
      </c>
    </row>
    <row r="193" spans="1:4" x14ac:dyDescent="0.25">
      <c r="A193" t="s">
        <v>96</v>
      </c>
      <c r="B193">
        <v>2009</v>
      </c>
      <c r="C193" s="10">
        <v>63166</v>
      </c>
      <c r="D193" t="str">
        <f t="shared" si="2"/>
        <v>2009LA</v>
      </c>
    </row>
    <row r="194" spans="1:4" x14ac:dyDescent="0.25">
      <c r="A194" t="s">
        <v>96</v>
      </c>
      <c r="B194">
        <v>2010</v>
      </c>
      <c r="C194" s="10">
        <v>66132</v>
      </c>
      <c r="D194" t="str">
        <f t="shared" si="2"/>
        <v>2010LA</v>
      </c>
    </row>
    <row r="195" spans="1:4" x14ac:dyDescent="0.25">
      <c r="A195" t="s">
        <v>96</v>
      </c>
      <c r="B195">
        <v>2011</v>
      </c>
      <c r="C195" s="10">
        <v>58535</v>
      </c>
      <c r="D195" t="str">
        <f t="shared" ref="D195:D258" si="3">B195 &amp;A195</f>
        <v>2011LA</v>
      </c>
    </row>
    <row r="196" spans="1:4" x14ac:dyDescent="0.25">
      <c r="A196" t="s">
        <v>96</v>
      </c>
      <c r="B196">
        <v>2012</v>
      </c>
      <c r="C196" s="10">
        <v>68951</v>
      </c>
      <c r="D196" t="str">
        <f t="shared" si="3"/>
        <v>2012LA</v>
      </c>
    </row>
    <row r="197" spans="1:4" x14ac:dyDescent="0.25">
      <c r="A197" t="s">
        <v>96</v>
      </c>
      <c r="B197">
        <v>2013</v>
      </c>
      <c r="C197" s="10">
        <v>75985</v>
      </c>
      <c r="D197" t="str">
        <f t="shared" si="3"/>
        <v>2013LA</v>
      </c>
    </row>
    <row r="198" spans="1:4" x14ac:dyDescent="0.25">
      <c r="A198" t="s">
        <v>96</v>
      </c>
      <c r="B198">
        <v>2014</v>
      </c>
      <c r="C198" s="10">
        <v>76582</v>
      </c>
      <c r="D198" t="str">
        <f t="shared" si="3"/>
        <v>2014LA</v>
      </c>
    </row>
    <row r="199" spans="1:4" x14ac:dyDescent="0.25">
      <c r="A199" t="s">
        <v>96</v>
      </c>
      <c r="B199">
        <v>2015</v>
      </c>
      <c r="C199" s="10">
        <v>77582</v>
      </c>
      <c r="D199" t="str">
        <f t="shared" si="3"/>
        <v>2015LA</v>
      </c>
    </row>
    <row r="200" spans="1:4" x14ac:dyDescent="0.25">
      <c r="A200" t="s">
        <v>97</v>
      </c>
      <c r="B200">
        <v>2005</v>
      </c>
      <c r="C200" s="10">
        <v>54645</v>
      </c>
      <c r="D200" t="str">
        <f t="shared" si="3"/>
        <v>2005AR</v>
      </c>
    </row>
    <row r="201" spans="1:4" x14ac:dyDescent="0.25">
      <c r="A201" t="s">
        <v>97</v>
      </c>
      <c r="B201">
        <v>2006</v>
      </c>
      <c r="C201" s="10">
        <v>65822</v>
      </c>
      <c r="D201" t="str">
        <f t="shared" si="3"/>
        <v>2006AR</v>
      </c>
    </row>
    <row r="202" spans="1:4" x14ac:dyDescent="0.25">
      <c r="A202" t="s">
        <v>97</v>
      </c>
      <c r="B202">
        <v>2007</v>
      </c>
      <c r="C202" s="10">
        <v>67397</v>
      </c>
      <c r="D202" t="str">
        <f t="shared" si="3"/>
        <v>2007AR</v>
      </c>
    </row>
    <row r="203" spans="1:4" x14ac:dyDescent="0.25">
      <c r="A203" t="s">
        <v>97</v>
      </c>
      <c r="B203">
        <v>2008</v>
      </c>
      <c r="C203" s="10">
        <v>67056</v>
      </c>
      <c r="D203" t="str">
        <f t="shared" si="3"/>
        <v>2008AR</v>
      </c>
    </row>
    <row r="204" spans="1:4" x14ac:dyDescent="0.25">
      <c r="A204" t="s">
        <v>97</v>
      </c>
      <c r="B204">
        <v>2009</v>
      </c>
      <c r="C204" s="10">
        <v>68432</v>
      </c>
      <c r="D204" t="str">
        <f t="shared" si="3"/>
        <v>2009AR</v>
      </c>
    </row>
    <row r="205" spans="1:4" x14ac:dyDescent="0.25">
      <c r="A205" t="s">
        <v>97</v>
      </c>
      <c r="B205">
        <v>2010</v>
      </c>
      <c r="C205" s="10">
        <v>68130</v>
      </c>
      <c r="D205" t="str">
        <f t="shared" si="3"/>
        <v>2010AR</v>
      </c>
    </row>
    <row r="206" spans="1:4" x14ac:dyDescent="0.25">
      <c r="A206" t="s">
        <v>97</v>
      </c>
      <c r="B206">
        <v>2011</v>
      </c>
      <c r="C206" s="10">
        <v>64370</v>
      </c>
      <c r="D206" t="str">
        <f t="shared" si="3"/>
        <v>2011AR</v>
      </c>
    </row>
    <row r="207" spans="1:4" x14ac:dyDescent="0.25">
      <c r="A207" t="s">
        <v>97</v>
      </c>
      <c r="B207">
        <v>2012</v>
      </c>
      <c r="C207" s="10">
        <v>69791</v>
      </c>
      <c r="D207" t="str">
        <f t="shared" si="3"/>
        <v>2012AR</v>
      </c>
    </row>
    <row r="208" spans="1:4" x14ac:dyDescent="0.25">
      <c r="A208" t="s">
        <v>97</v>
      </c>
      <c r="B208">
        <v>2013</v>
      </c>
      <c r="C208" s="10">
        <v>75186</v>
      </c>
      <c r="D208" t="str">
        <f t="shared" si="3"/>
        <v>2013AR</v>
      </c>
    </row>
    <row r="209" spans="1:4" x14ac:dyDescent="0.25">
      <c r="A209" t="s">
        <v>97</v>
      </c>
      <c r="B209">
        <v>2014</v>
      </c>
      <c r="C209" s="10">
        <v>74353</v>
      </c>
      <c r="D209" t="str">
        <f t="shared" si="3"/>
        <v>2014AR</v>
      </c>
    </row>
    <row r="210" spans="1:4" x14ac:dyDescent="0.25">
      <c r="A210" t="s">
        <v>97</v>
      </c>
      <c r="B210">
        <v>2015</v>
      </c>
      <c r="C210" s="10">
        <v>77553</v>
      </c>
      <c r="D210" t="str">
        <f t="shared" si="3"/>
        <v>2015AR</v>
      </c>
    </row>
    <row r="211" spans="1:4" x14ac:dyDescent="0.25">
      <c r="A211" t="s">
        <v>98</v>
      </c>
      <c r="B211">
        <v>2005</v>
      </c>
      <c r="C211" s="10">
        <v>47609</v>
      </c>
      <c r="D211" t="str">
        <f t="shared" si="3"/>
        <v>2005MS</v>
      </c>
    </row>
    <row r="212" spans="1:4" x14ac:dyDescent="0.25">
      <c r="A212" t="s">
        <v>98</v>
      </c>
      <c r="B212">
        <v>2006</v>
      </c>
      <c r="C212" s="10">
        <v>57385</v>
      </c>
      <c r="D212" t="str">
        <f t="shared" si="3"/>
        <v>2006MS</v>
      </c>
    </row>
    <row r="213" spans="1:4" x14ac:dyDescent="0.25">
      <c r="A213" t="s">
        <v>98</v>
      </c>
      <c r="B213">
        <v>2007</v>
      </c>
      <c r="C213" s="10">
        <v>47678</v>
      </c>
      <c r="D213" t="str">
        <f t="shared" si="3"/>
        <v>2007MS</v>
      </c>
    </row>
    <row r="214" spans="1:4" x14ac:dyDescent="0.25">
      <c r="A214" t="s">
        <v>98</v>
      </c>
      <c r="B214">
        <v>2008</v>
      </c>
      <c r="C214" s="10">
        <v>61778</v>
      </c>
      <c r="D214" t="str">
        <f t="shared" si="3"/>
        <v>2008MS</v>
      </c>
    </row>
    <row r="215" spans="1:4" x14ac:dyDescent="0.25">
      <c r="A215" t="s">
        <v>98</v>
      </c>
      <c r="B215">
        <v>2009</v>
      </c>
      <c r="C215" s="10">
        <v>60073</v>
      </c>
      <c r="D215" t="str">
        <f t="shared" si="3"/>
        <v>2009MS</v>
      </c>
    </row>
    <row r="216" spans="1:4" x14ac:dyDescent="0.25">
      <c r="A216" t="s">
        <v>98</v>
      </c>
      <c r="B216">
        <v>2010</v>
      </c>
      <c r="C216" s="10">
        <v>59329</v>
      </c>
      <c r="D216" t="str">
        <f t="shared" si="3"/>
        <v>2010MS</v>
      </c>
    </row>
    <row r="217" spans="1:4" x14ac:dyDescent="0.25">
      <c r="A217" t="s">
        <v>98</v>
      </c>
      <c r="B217">
        <v>2011</v>
      </c>
      <c r="C217" s="10">
        <v>60859</v>
      </c>
      <c r="D217" t="str">
        <f t="shared" si="3"/>
        <v>2011MS</v>
      </c>
    </row>
    <row r="218" spans="1:4" x14ac:dyDescent="0.25">
      <c r="A218" t="s">
        <v>98</v>
      </c>
      <c r="B218">
        <v>2012</v>
      </c>
      <c r="C218" s="10">
        <v>58196</v>
      </c>
      <c r="D218" t="str">
        <f t="shared" si="3"/>
        <v>2012MS</v>
      </c>
    </row>
    <row r="219" spans="1:4" x14ac:dyDescent="0.25">
      <c r="A219" t="s">
        <v>98</v>
      </c>
      <c r="B219">
        <v>2013</v>
      </c>
      <c r="C219" s="10">
        <v>48912</v>
      </c>
      <c r="D219" t="str">
        <f t="shared" si="3"/>
        <v>2013MS</v>
      </c>
    </row>
    <row r="220" spans="1:4" x14ac:dyDescent="0.25">
      <c r="A220" t="s">
        <v>98</v>
      </c>
      <c r="B220">
        <v>2014</v>
      </c>
      <c r="C220" s="10">
        <v>67002</v>
      </c>
      <c r="D220" t="str">
        <f t="shared" si="3"/>
        <v>2014MS</v>
      </c>
    </row>
    <row r="221" spans="1:4" x14ac:dyDescent="0.25">
      <c r="A221" t="s">
        <v>98</v>
      </c>
      <c r="B221">
        <v>2015</v>
      </c>
      <c r="C221" s="10">
        <v>60831</v>
      </c>
      <c r="D221" t="str">
        <f t="shared" si="3"/>
        <v>2015MS</v>
      </c>
    </row>
    <row r="222" spans="1:4" x14ac:dyDescent="0.25">
      <c r="A222" t="s">
        <v>99</v>
      </c>
      <c r="B222">
        <v>2005</v>
      </c>
      <c r="C222" s="10">
        <v>62301</v>
      </c>
      <c r="D222" t="str">
        <f t="shared" si="3"/>
        <v>2005MO</v>
      </c>
    </row>
    <row r="223" spans="1:4" x14ac:dyDescent="0.25">
      <c r="A223" t="s">
        <v>99</v>
      </c>
      <c r="B223">
        <v>2006</v>
      </c>
      <c r="C223" s="10">
        <v>61921</v>
      </c>
      <c r="D223" t="str">
        <f t="shared" si="3"/>
        <v>2006MO</v>
      </c>
    </row>
    <row r="224" spans="1:4" x14ac:dyDescent="0.25">
      <c r="A224" t="s">
        <v>99</v>
      </c>
      <c r="B224">
        <v>2007</v>
      </c>
      <c r="C224" s="10">
        <v>62910</v>
      </c>
      <c r="D224" t="str">
        <f t="shared" si="3"/>
        <v>2007MO</v>
      </c>
    </row>
    <row r="225" spans="1:4" x14ac:dyDescent="0.25">
      <c r="A225" t="s">
        <v>99</v>
      </c>
      <c r="B225">
        <v>2008</v>
      </c>
      <c r="C225" s="10">
        <v>69299</v>
      </c>
      <c r="D225" t="str">
        <f t="shared" si="3"/>
        <v>2008MO</v>
      </c>
    </row>
    <row r="226" spans="1:4" x14ac:dyDescent="0.25">
      <c r="A226" t="s">
        <v>99</v>
      </c>
      <c r="B226">
        <v>2009</v>
      </c>
      <c r="C226" s="10">
        <v>72566</v>
      </c>
      <c r="D226" t="str">
        <f t="shared" si="3"/>
        <v>2009MO</v>
      </c>
    </row>
    <row r="227" spans="1:4" x14ac:dyDescent="0.25">
      <c r="A227" t="s">
        <v>99</v>
      </c>
      <c r="B227">
        <v>2010</v>
      </c>
      <c r="C227" s="10">
        <v>65997</v>
      </c>
      <c r="D227" t="str">
        <f t="shared" si="3"/>
        <v>2010MO</v>
      </c>
    </row>
    <row r="228" spans="1:4" x14ac:dyDescent="0.25">
      <c r="A228" t="s">
        <v>99</v>
      </c>
      <c r="B228">
        <v>2011</v>
      </c>
      <c r="C228" s="10">
        <v>69039</v>
      </c>
      <c r="D228" t="str">
        <f t="shared" si="3"/>
        <v>2011MO</v>
      </c>
    </row>
    <row r="229" spans="1:4" x14ac:dyDescent="0.25">
      <c r="A229" t="s">
        <v>99</v>
      </c>
      <c r="B229">
        <v>2012</v>
      </c>
      <c r="C229" s="10">
        <v>78920</v>
      </c>
      <c r="D229" t="str">
        <f t="shared" si="3"/>
        <v>2012MO</v>
      </c>
    </row>
    <row r="230" spans="1:4" x14ac:dyDescent="0.25">
      <c r="A230" t="s">
        <v>99</v>
      </c>
      <c r="B230">
        <v>2013</v>
      </c>
      <c r="C230" s="10">
        <v>73978</v>
      </c>
      <c r="D230" t="str">
        <f t="shared" si="3"/>
        <v>2013MO</v>
      </c>
    </row>
    <row r="231" spans="1:4" x14ac:dyDescent="0.25">
      <c r="A231" t="s">
        <v>99</v>
      </c>
      <c r="B231">
        <v>2014</v>
      </c>
      <c r="C231" s="10">
        <v>84205</v>
      </c>
      <c r="D231" t="str">
        <f t="shared" si="3"/>
        <v>2014MO</v>
      </c>
    </row>
    <row r="232" spans="1:4" x14ac:dyDescent="0.25">
      <c r="A232" t="s">
        <v>99</v>
      </c>
      <c r="B232">
        <v>2015</v>
      </c>
      <c r="C232" s="10">
        <v>83045</v>
      </c>
      <c r="D232" t="str">
        <f t="shared" si="3"/>
        <v>2015MO</v>
      </c>
    </row>
    <row r="233" spans="1:4" x14ac:dyDescent="0.25">
      <c r="A233" t="s">
        <v>100</v>
      </c>
      <c r="B233">
        <v>2005</v>
      </c>
      <c r="C233" s="10">
        <v>60043</v>
      </c>
      <c r="D233" t="str">
        <f t="shared" si="3"/>
        <v>2005IA</v>
      </c>
    </row>
    <row r="234" spans="1:4" x14ac:dyDescent="0.25">
      <c r="A234" t="s">
        <v>100</v>
      </c>
      <c r="B234">
        <v>2006</v>
      </c>
      <c r="C234" s="10">
        <v>58815</v>
      </c>
      <c r="D234" t="str">
        <f t="shared" si="3"/>
        <v>2006IA</v>
      </c>
    </row>
    <row r="235" spans="1:4" x14ac:dyDescent="0.25">
      <c r="A235" t="s">
        <v>100</v>
      </c>
      <c r="B235">
        <v>2007</v>
      </c>
      <c r="C235" s="10">
        <v>63698</v>
      </c>
      <c r="D235" t="str">
        <f t="shared" si="3"/>
        <v>2007IA</v>
      </c>
    </row>
    <row r="236" spans="1:4" x14ac:dyDescent="0.25">
      <c r="A236" t="s">
        <v>100</v>
      </c>
      <c r="B236">
        <v>2008</v>
      </c>
      <c r="C236" s="10">
        <v>61887</v>
      </c>
      <c r="D236" t="str">
        <f t="shared" si="3"/>
        <v>2008IA</v>
      </c>
    </row>
    <row r="237" spans="1:4" x14ac:dyDescent="0.25">
      <c r="A237" t="s">
        <v>100</v>
      </c>
      <c r="B237">
        <v>2009</v>
      </c>
      <c r="C237" s="10">
        <v>64513</v>
      </c>
      <c r="D237" t="str">
        <f t="shared" si="3"/>
        <v>2009IA</v>
      </c>
    </row>
    <row r="238" spans="1:4" x14ac:dyDescent="0.25">
      <c r="A238" t="s">
        <v>100</v>
      </c>
      <c r="B238">
        <v>2010</v>
      </c>
      <c r="C238" s="10">
        <v>66227</v>
      </c>
      <c r="D238" t="str">
        <f t="shared" si="3"/>
        <v>2010IA</v>
      </c>
    </row>
    <row r="239" spans="1:4" x14ac:dyDescent="0.25">
      <c r="A239" t="s">
        <v>100</v>
      </c>
      <c r="B239">
        <v>2011</v>
      </c>
      <c r="C239" s="10">
        <v>65811</v>
      </c>
      <c r="D239" t="str">
        <f t="shared" si="3"/>
        <v>2011IA</v>
      </c>
    </row>
    <row r="240" spans="1:4" x14ac:dyDescent="0.25">
      <c r="A240" t="s">
        <v>100</v>
      </c>
      <c r="B240">
        <v>2012</v>
      </c>
      <c r="C240" s="10">
        <v>69503</v>
      </c>
      <c r="D240" t="str">
        <f t="shared" si="3"/>
        <v>2012IA</v>
      </c>
    </row>
    <row r="241" spans="1:4" x14ac:dyDescent="0.25">
      <c r="A241" t="s">
        <v>100</v>
      </c>
      <c r="B241">
        <v>2013</v>
      </c>
      <c r="C241" s="10">
        <v>71067</v>
      </c>
      <c r="D241" t="str">
        <f t="shared" si="3"/>
        <v>2013IA</v>
      </c>
    </row>
    <row r="242" spans="1:4" x14ac:dyDescent="0.25">
      <c r="A242" t="s">
        <v>100</v>
      </c>
      <c r="B242">
        <v>2014</v>
      </c>
      <c r="C242" s="10">
        <v>73968</v>
      </c>
      <c r="D242" t="str">
        <f t="shared" si="3"/>
        <v>2014IA</v>
      </c>
    </row>
    <row r="243" spans="1:4" x14ac:dyDescent="0.25">
      <c r="A243" t="s">
        <v>100</v>
      </c>
      <c r="B243">
        <v>2015</v>
      </c>
      <c r="C243" s="10">
        <v>80619</v>
      </c>
      <c r="D243" t="str">
        <f t="shared" si="3"/>
        <v>2015IA</v>
      </c>
    </row>
    <row r="244" spans="1:4" x14ac:dyDescent="0.25">
      <c r="A244" t="s">
        <v>101</v>
      </c>
      <c r="B244">
        <v>2005</v>
      </c>
      <c r="C244" s="10">
        <v>70047</v>
      </c>
      <c r="D244" t="str">
        <f t="shared" si="3"/>
        <v>2005MN</v>
      </c>
    </row>
    <row r="245" spans="1:4" x14ac:dyDescent="0.25">
      <c r="A245" t="s">
        <v>101</v>
      </c>
      <c r="B245">
        <v>2006</v>
      </c>
      <c r="C245" s="10">
        <v>74387</v>
      </c>
      <c r="D245" t="str">
        <f t="shared" si="3"/>
        <v>2006MN</v>
      </c>
    </row>
    <row r="246" spans="1:4" x14ac:dyDescent="0.25">
      <c r="A246" t="s">
        <v>101</v>
      </c>
      <c r="B246">
        <v>2007</v>
      </c>
      <c r="C246" s="10">
        <v>75124</v>
      </c>
      <c r="D246" t="str">
        <f t="shared" si="3"/>
        <v>2007MN</v>
      </c>
    </row>
    <row r="247" spans="1:4" x14ac:dyDescent="0.25">
      <c r="A247" t="s">
        <v>101</v>
      </c>
      <c r="B247">
        <v>2008</v>
      </c>
      <c r="C247" s="10">
        <v>79105</v>
      </c>
      <c r="D247" t="str">
        <f t="shared" si="3"/>
        <v>2008MN</v>
      </c>
    </row>
    <row r="248" spans="1:4" x14ac:dyDescent="0.25">
      <c r="A248" t="s">
        <v>101</v>
      </c>
      <c r="B248">
        <v>2009</v>
      </c>
      <c r="C248" s="10">
        <v>79637</v>
      </c>
      <c r="D248" t="str">
        <f t="shared" si="3"/>
        <v>2009MN</v>
      </c>
    </row>
    <row r="249" spans="1:4" x14ac:dyDescent="0.25">
      <c r="A249" t="s">
        <v>101</v>
      </c>
      <c r="B249">
        <v>2010</v>
      </c>
      <c r="C249" s="10">
        <v>80588</v>
      </c>
      <c r="D249" t="str">
        <f t="shared" si="3"/>
        <v>2010MN</v>
      </c>
    </row>
    <row r="250" spans="1:4" x14ac:dyDescent="0.25">
      <c r="A250" t="s">
        <v>101</v>
      </c>
      <c r="B250">
        <v>2011</v>
      </c>
      <c r="C250" s="10">
        <v>79402</v>
      </c>
      <c r="D250" t="str">
        <f t="shared" si="3"/>
        <v>2011MN</v>
      </c>
    </row>
    <row r="251" spans="1:4" x14ac:dyDescent="0.25">
      <c r="A251" t="s">
        <v>101</v>
      </c>
      <c r="B251">
        <v>2012</v>
      </c>
      <c r="C251" s="10">
        <v>86721</v>
      </c>
      <c r="D251" t="str">
        <f t="shared" si="3"/>
        <v>2012MN</v>
      </c>
    </row>
    <row r="252" spans="1:4" x14ac:dyDescent="0.25">
      <c r="A252" t="s">
        <v>101</v>
      </c>
      <c r="B252">
        <v>2013</v>
      </c>
      <c r="C252" s="10">
        <v>85674</v>
      </c>
      <c r="D252" t="str">
        <f t="shared" si="3"/>
        <v>2013MN</v>
      </c>
    </row>
    <row r="253" spans="1:4" x14ac:dyDescent="0.25">
      <c r="A253" t="s">
        <v>101</v>
      </c>
      <c r="B253">
        <v>2014</v>
      </c>
      <c r="C253" s="10">
        <v>90276</v>
      </c>
      <c r="D253" t="str">
        <f t="shared" si="3"/>
        <v>2014MN</v>
      </c>
    </row>
    <row r="254" spans="1:4" x14ac:dyDescent="0.25">
      <c r="A254" t="s">
        <v>101</v>
      </c>
      <c r="B254">
        <v>2015</v>
      </c>
      <c r="C254" s="10">
        <v>98559</v>
      </c>
      <c r="D254" t="str">
        <f t="shared" si="3"/>
        <v>2015MN</v>
      </c>
    </row>
    <row r="255" spans="1:4" x14ac:dyDescent="0.25">
      <c r="A255" t="s">
        <v>102</v>
      </c>
      <c r="B255">
        <v>2005</v>
      </c>
      <c r="C255" s="10">
        <v>56961</v>
      </c>
      <c r="D255" t="str">
        <f t="shared" si="3"/>
        <v>2005WI</v>
      </c>
    </row>
    <row r="256" spans="1:4" x14ac:dyDescent="0.25">
      <c r="A256" t="s">
        <v>102</v>
      </c>
      <c r="B256">
        <v>2006</v>
      </c>
      <c r="C256" s="10">
        <v>64344</v>
      </c>
      <c r="D256" t="str">
        <f t="shared" si="3"/>
        <v>2006WI</v>
      </c>
    </row>
    <row r="257" spans="1:4" x14ac:dyDescent="0.25">
      <c r="A257" t="s">
        <v>102</v>
      </c>
      <c r="B257">
        <v>2007</v>
      </c>
      <c r="C257" s="10">
        <v>65375</v>
      </c>
      <c r="D257" t="str">
        <f t="shared" si="3"/>
        <v>2007WI</v>
      </c>
    </row>
    <row r="258" spans="1:4" x14ac:dyDescent="0.25">
      <c r="A258" t="s">
        <v>102</v>
      </c>
      <c r="B258">
        <v>2008</v>
      </c>
      <c r="C258" s="10">
        <v>71900</v>
      </c>
      <c r="D258" t="str">
        <f t="shared" si="3"/>
        <v>2008WI</v>
      </c>
    </row>
    <row r="259" spans="1:4" x14ac:dyDescent="0.25">
      <c r="A259" t="s">
        <v>102</v>
      </c>
      <c r="B259">
        <v>2009</v>
      </c>
      <c r="C259" s="10">
        <v>68663</v>
      </c>
      <c r="D259" t="str">
        <f t="shared" ref="D259:D322" si="4">B259 &amp;A259</f>
        <v>2009WI</v>
      </c>
    </row>
    <row r="260" spans="1:4" x14ac:dyDescent="0.25">
      <c r="A260" t="s">
        <v>102</v>
      </c>
      <c r="B260">
        <v>2010</v>
      </c>
      <c r="C260" s="10">
        <v>74892</v>
      </c>
      <c r="D260" t="str">
        <f t="shared" si="4"/>
        <v>2010WI</v>
      </c>
    </row>
    <row r="261" spans="1:4" x14ac:dyDescent="0.25">
      <c r="A261" t="s">
        <v>102</v>
      </c>
      <c r="B261">
        <v>2011</v>
      </c>
      <c r="C261" s="10">
        <v>71756</v>
      </c>
      <c r="D261" t="str">
        <f t="shared" si="4"/>
        <v>2011WI</v>
      </c>
    </row>
    <row r="262" spans="1:4" x14ac:dyDescent="0.25">
      <c r="A262" t="s">
        <v>102</v>
      </c>
      <c r="B262">
        <v>2012</v>
      </c>
      <c r="C262" s="10">
        <v>78948</v>
      </c>
      <c r="D262" t="str">
        <f t="shared" si="4"/>
        <v>2012WI</v>
      </c>
    </row>
    <row r="263" spans="1:4" x14ac:dyDescent="0.25">
      <c r="A263" t="s">
        <v>102</v>
      </c>
      <c r="B263">
        <v>2013</v>
      </c>
      <c r="C263" s="10">
        <v>76381</v>
      </c>
      <c r="D263" t="str">
        <f t="shared" si="4"/>
        <v>2013WI</v>
      </c>
    </row>
    <row r="264" spans="1:4" x14ac:dyDescent="0.25">
      <c r="A264" t="s">
        <v>102</v>
      </c>
      <c r="B264">
        <v>2014</v>
      </c>
      <c r="C264" s="10">
        <v>81273</v>
      </c>
      <c r="D264" t="str">
        <f t="shared" si="4"/>
        <v>2014WI</v>
      </c>
    </row>
    <row r="265" spans="1:4" x14ac:dyDescent="0.25">
      <c r="A265" t="s">
        <v>102</v>
      </c>
      <c r="B265">
        <v>2015</v>
      </c>
      <c r="C265" s="10">
        <v>93889</v>
      </c>
      <c r="D265" t="str">
        <f t="shared" si="4"/>
        <v>2015WI</v>
      </c>
    </row>
    <row r="266" spans="1:4" x14ac:dyDescent="0.25">
      <c r="A266" t="s">
        <v>103</v>
      </c>
      <c r="B266">
        <v>2005</v>
      </c>
      <c r="C266" s="10">
        <v>60220</v>
      </c>
      <c r="D266" t="str">
        <f t="shared" si="4"/>
        <v>2005MI</v>
      </c>
    </row>
    <row r="267" spans="1:4" x14ac:dyDescent="0.25">
      <c r="A267" t="s">
        <v>103</v>
      </c>
      <c r="B267">
        <v>2006</v>
      </c>
      <c r="C267" s="10">
        <v>63931</v>
      </c>
      <c r="D267" t="str">
        <f t="shared" si="4"/>
        <v>2006MI</v>
      </c>
    </row>
    <row r="268" spans="1:4" x14ac:dyDescent="0.25">
      <c r="A268" t="s">
        <v>103</v>
      </c>
      <c r="B268">
        <v>2007</v>
      </c>
      <c r="C268" s="10">
        <v>63699</v>
      </c>
      <c r="D268" t="str">
        <f t="shared" si="4"/>
        <v>2007MI</v>
      </c>
    </row>
    <row r="269" spans="1:4" x14ac:dyDescent="0.25">
      <c r="A269" t="s">
        <v>103</v>
      </c>
      <c r="B269">
        <v>2008</v>
      </c>
      <c r="C269" s="10">
        <v>68773</v>
      </c>
      <c r="D269" t="str">
        <f t="shared" si="4"/>
        <v>2008MI</v>
      </c>
    </row>
    <row r="270" spans="1:4" x14ac:dyDescent="0.25">
      <c r="A270" t="s">
        <v>103</v>
      </c>
      <c r="B270">
        <v>2009</v>
      </c>
      <c r="C270" s="10">
        <v>67929</v>
      </c>
      <c r="D270" t="str">
        <f t="shared" si="4"/>
        <v>2009MI</v>
      </c>
    </row>
    <row r="271" spans="1:4" x14ac:dyDescent="0.25">
      <c r="A271" t="s">
        <v>103</v>
      </c>
      <c r="B271">
        <v>2010</v>
      </c>
      <c r="C271" s="10">
        <v>70140</v>
      </c>
      <c r="D271" t="str">
        <f t="shared" si="4"/>
        <v>2010MI</v>
      </c>
    </row>
    <row r="272" spans="1:4" x14ac:dyDescent="0.25">
      <c r="A272" t="s">
        <v>103</v>
      </c>
      <c r="B272">
        <v>2011</v>
      </c>
      <c r="C272" s="10">
        <v>68771</v>
      </c>
      <c r="D272" t="str">
        <f t="shared" si="4"/>
        <v>2011MI</v>
      </c>
    </row>
    <row r="273" spans="1:4" x14ac:dyDescent="0.25">
      <c r="A273" t="s">
        <v>103</v>
      </c>
      <c r="B273">
        <v>2012</v>
      </c>
      <c r="C273" s="10">
        <v>75702</v>
      </c>
      <c r="D273" t="str">
        <f t="shared" si="4"/>
        <v>2012MI</v>
      </c>
    </row>
    <row r="274" spans="1:4" x14ac:dyDescent="0.25">
      <c r="A274" t="s">
        <v>103</v>
      </c>
      <c r="B274">
        <v>2013</v>
      </c>
      <c r="C274" s="10">
        <v>77783</v>
      </c>
      <c r="D274" t="str">
        <f t="shared" si="4"/>
        <v>2013MI</v>
      </c>
    </row>
    <row r="275" spans="1:4" x14ac:dyDescent="0.25">
      <c r="A275" t="s">
        <v>103</v>
      </c>
      <c r="B275">
        <v>2014</v>
      </c>
      <c r="C275" s="10">
        <v>82226</v>
      </c>
      <c r="D275" t="str">
        <f t="shared" si="4"/>
        <v>2014MI</v>
      </c>
    </row>
    <row r="276" spans="1:4" x14ac:dyDescent="0.25">
      <c r="A276" t="s">
        <v>103</v>
      </c>
      <c r="B276">
        <v>2015</v>
      </c>
      <c r="C276" s="10">
        <v>89876</v>
      </c>
      <c r="D276" t="str">
        <f t="shared" si="4"/>
        <v>2015MI</v>
      </c>
    </row>
    <row r="277" spans="1:4" x14ac:dyDescent="0.25">
      <c r="A277" t="s">
        <v>104</v>
      </c>
      <c r="B277">
        <v>2005</v>
      </c>
      <c r="C277" s="10">
        <v>69482</v>
      </c>
      <c r="D277" t="str">
        <f t="shared" si="4"/>
        <v>2005IL</v>
      </c>
    </row>
    <row r="278" spans="1:4" x14ac:dyDescent="0.25">
      <c r="A278" t="s">
        <v>104</v>
      </c>
      <c r="B278">
        <v>2006</v>
      </c>
      <c r="C278" s="10">
        <v>72777</v>
      </c>
      <c r="D278" t="str">
        <f t="shared" si="4"/>
        <v>2006IL</v>
      </c>
    </row>
    <row r="279" spans="1:4" x14ac:dyDescent="0.25">
      <c r="A279" t="s">
        <v>104</v>
      </c>
      <c r="B279">
        <v>2007</v>
      </c>
      <c r="C279" s="10">
        <v>74886</v>
      </c>
      <c r="D279" t="str">
        <f t="shared" si="4"/>
        <v>2007IL</v>
      </c>
    </row>
    <row r="280" spans="1:4" x14ac:dyDescent="0.25">
      <c r="A280" t="s">
        <v>104</v>
      </c>
      <c r="B280">
        <v>2008</v>
      </c>
      <c r="C280" s="10">
        <v>78274</v>
      </c>
      <c r="D280" t="str">
        <f t="shared" si="4"/>
        <v>2008IL</v>
      </c>
    </row>
    <row r="281" spans="1:4" x14ac:dyDescent="0.25">
      <c r="A281" t="s">
        <v>104</v>
      </c>
      <c r="B281">
        <v>2009</v>
      </c>
      <c r="C281" s="10">
        <v>78918</v>
      </c>
      <c r="D281" t="str">
        <f t="shared" si="4"/>
        <v>2009IL</v>
      </c>
    </row>
    <row r="282" spans="1:4" x14ac:dyDescent="0.25">
      <c r="A282" t="s">
        <v>104</v>
      </c>
      <c r="B282">
        <v>2010</v>
      </c>
      <c r="C282" s="10">
        <v>78168</v>
      </c>
      <c r="D282" t="str">
        <f t="shared" si="4"/>
        <v>2010IL</v>
      </c>
    </row>
    <row r="283" spans="1:4" x14ac:dyDescent="0.25">
      <c r="A283" t="s">
        <v>104</v>
      </c>
      <c r="B283">
        <v>2011</v>
      </c>
      <c r="C283" s="10">
        <v>82840</v>
      </c>
      <c r="D283" t="str">
        <f t="shared" si="4"/>
        <v>2011IL</v>
      </c>
    </row>
    <row r="284" spans="1:4" x14ac:dyDescent="0.25">
      <c r="A284" t="s">
        <v>104</v>
      </c>
      <c r="B284">
        <v>2012</v>
      </c>
      <c r="C284" s="10">
        <v>83838</v>
      </c>
      <c r="D284" t="str">
        <f t="shared" si="4"/>
        <v>2012IL</v>
      </c>
    </row>
    <row r="285" spans="1:4" x14ac:dyDescent="0.25">
      <c r="A285" t="s">
        <v>104</v>
      </c>
      <c r="B285">
        <v>2013</v>
      </c>
      <c r="C285" s="10">
        <v>85474</v>
      </c>
      <c r="D285" t="str">
        <f t="shared" si="4"/>
        <v>2013IL</v>
      </c>
    </row>
    <row r="286" spans="1:4" x14ac:dyDescent="0.25">
      <c r="A286" t="s">
        <v>104</v>
      </c>
      <c r="B286">
        <v>2014</v>
      </c>
      <c r="C286" s="10">
        <v>87605</v>
      </c>
      <c r="D286" t="str">
        <f t="shared" si="4"/>
        <v>2014IL</v>
      </c>
    </row>
    <row r="287" spans="1:4" x14ac:dyDescent="0.25">
      <c r="A287" t="s">
        <v>104</v>
      </c>
      <c r="B287">
        <v>2015</v>
      </c>
      <c r="C287" s="10">
        <v>94020</v>
      </c>
      <c r="D287" t="str">
        <f t="shared" si="4"/>
        <v>2015IL</v>
      </c>
    </row>
    <row r="288" spans="1:4" x14ac:dyDescent="0.25">
      <c r="A288" t="s">
        <v>105</v>
      </c>
      <c r="B288">
        <v>2005</v>
      </c>
      <c r="C288" s="10">
        <v>69481</v>
      </c>
      <c r="D288" t="str">
        <f t="shared" si="4"/>
        <v>2005IN</v>
      </c>
    </row>
    <row r="289" spans="1:4" x14ac:dyDescent="0.25">
      <c r="A289" t="s">
        <v>105</v>
      </c>
      <c r="B289">
        <v>2006</v>
      </c>
      <c r="C289" s="10">
        <v>59587</v>
      </c>
      <c r="D289" t="str">
        <f t="shared" si="4"/>
        <v>2006IN</v>
      </c>
    </row>
    <row r="290" spans="1:4" x14ac:dyDescent="0.25">
      <c r="A290" t="s">
        <v>105</v>
      </c>
      <c r="B290">
        <v>2007</v>
      </c>
      <c r="C290" s="10">
        <v>59214</v>
      </c>
      <c r="D290" t="str">
        <f t="shared" si="4"/>
        <v>2007IN</v>
      </c>
    </row>
    <row r="291" spans="1:4" x14ac:dyDescent="0.25">
      <c r="A291" t="s">
        <v>105</v>
      </c>
      <c r="B291">
        <v>2008</v>
      </c>
      <c r="C291" s="10">
        <v>62726</v>
      </c>
      <c r="D291" t="str">
        <f t="shared" si="4"/>
        <v>2008IN</v>
      </c>
    </row>
    <row r="292" spans="1:4" x14ac:dyDescent="0.25">
      <c r="A292" t="s">
        <v>105</v>
      </c>
      <c r="B292">
        <v>2009</v>
      </c>
      <c r="C292" s="10">
        <v>65754</v>
      </c>
      <c r="D292" t="str">
        <f t="shared" si="4"/>
        <v>2009IN</v>
      </c>
    </row>
    <row r="293" spans="1:4" x14ac:dyDescent="0.25">
      <c r="A293" t="s">
        <v>105</v>
      </c>
      <c r="B293">
        <v>2010</v>
      </c>
      <c r="C293" s="10">
        <v>66430</v>
      </c>
      <c r="D293" t="str">
        <f t="shared" si="4"/>
        <v>2010IN</v>
      </c>
    </row>
    <row r="294" spans="1:4" x14ac:dyDescent="0.25">
      <c r="A294" t="s">
        <v>105</v>
      </c>
      <c r="B294">
        <v>2011</v>
      </c>
      <c r="C294" s="10">
        <v>64852</v>
      </c>
      <c r="D294" t="str">
        <f t="shared" si="4"/>
        <v>2011IN</v>
      </c>
    </row>
    <row r="295" spans="1:4" x14ac:dyDescent="0.25">
      <c r="A295" t="s">
        <v>105</v>
      </c>
      <c r="B295">
        <v>2012</v>
      </c>
      <c r="C295" s="10">
        <v>72674</v>
      </c>
      <c r="D295" t="str">
        <f t="shared" si="4"/>
        <v>2012IN</v>
      </c>
    </row>
    <row r="296" spans="1:4" x14ac:dyDescent="0.25">
      <c r="A296" t="s">
        <v>105</v>
      </c>
      <c r="B296">
        <v>2013</v>
      </c>
      <c r="C296" s="10">
        <v>75140</v>
      </c>
      <c r="D296" t="str">
        <f t="shared" si="4"/>
        <v>2013IN</v>
      </c>
    </row>
    <row r="297" spans="1:4" x14ac:dyDescent="0.25">
      <c r="A297" t="s">
        <v>105</v>
      </c>
      <c r="B297">
        <v>2014</v>
      </c>
      <c r="C297" s="10">
        <v>74159</v>
      </c>
      <c r="D297" t="str">
        <f t="shared" si="4"/>
        <v>2014IN</v>
      </c>
    </row>
    <row r="298" spans="1:4" x14ac:dyDescent="0.25">
      <c r="A298" t="s">
        <v>105</v>
      </c>
      <c r="B298">
        <v>2015</v>
      </c>
      <c r="C298" s="10">
        <v>77780</v>
      </c>
      <c r="D298" t="str">
        <f t="shared" si="4"/>
        <v>2015IN</v>
      </c>
    </row>
    <row r="299" spans="1:4" x14ac:dyDescent="0.25">
      <c r="A299" t="s">
        <v>106</v>
      </c>
      <c r="B299">
        <v>2005</v>
      </c>
      <c r="C299" s="10">
        <v>53774</v>
      </c>
      <c r="D299" t="str">
        <f t="shared" si="4"/>
        <v>2005KY</v>
      </c>
    </row>
    <row r="300" spans="1:4" x14ac:dyDescent="0.25">
      <c r="A300" t="s">
        <v>106</v>
      </c>
      <c r="B300">
        <v>2006</v>
      </c>
      <c r="C300" s="10">
        <v>56297</v>
      </c>
      <c r="D300" t="str">
        <f t="shared" si="4"/>
        <v>2006KY</v>
      </c>
    </row>
    <row r="301" spans="1:4" x14ac:dyDescent="0.25">
      <c r="A301" t="s">
        <v>106</v>
      </c>
      <c r="B301">
        <v>2007</v>
      </c>
      <c r="C301" s="10">
        <v>57916</v>
      </c>
      <c r="D301" t="str">
        <f t="shared" si="4"/>
        <v>2007KY</v>
      </c>
    </row>
    <row r="302" spans="1:4" x14ac:dyDescent="0.25">
      <c r="A302" t="s">
        <v>106</v>
      </c>
      <c r="B302">
        <v>2008</v>
      </c>
      <c r="C302" s="10">
        <v>63782</v>
      </c>
      <c r="D302" t="str">
        <f t="shared" si="4"/>
        <v>2008KY</v>
      </c>
    </row>
    <row r="303" spans="1:4" x14ac:dyDescent="0.25">
      <c r="A303" t="s">
        <v>106</v>
      </c>
      <c r="B303">
        <v>2009</v>
      </c>
      <c r="C303" s="10">
        <v>58613</v>
      </c>
      <c r="D303" t="str">
        <f t="shared" si="4"/>
        <v>2009KY</v>
      </c>
    </row>
    <row r="304" spans="1:4" x14ac:dyDescent="0.25">
      <c r="A304" t="s">
        <v>106</v>
      </c>
      <c r="B304">
        <v>2010</v>
      </c>
      <c r="C304" s="10">
        <v>63184</v>
      </c>
      <c r="D304" t="str">
        <f t="shared" si="4"/>
        <v>2010KY</v>
      </c>
    </row>
    <row r="305" spans="1:4" x14ac:dyDescent="0.25">
      <c r="A305" t="s">
        <v>106</v>
      </c>
      <c r="B305">
        <v>2011</v>
      </c>
      <c r="C305" s="10">
        <v>64442</v>
      </c>
      <c r="D305" t="str">
        <f t="shared" si="4"/>
        <v>2011KY</v>
      </c>
    </row>
    <row r="306" spans="1:4" x14ac:dyDescent="0.25">
      <c r="A306" t="s">
        <v>106</v>
      </c>
      <c r="B306">
        <v>2012</v>
      </c>
      <c r="C306" s="10">
        <v>69136</v>
      </c>
      <c r="D306" t="str">
        <f t="shared" si="4"/>
        <v>2012KY</v>
      </c>
    </row>
    <row r="307" spans="1:4" x14ac:dyDescent="0.25">
      <c r="A307" t="s">
        <v>106</v>
      </c>
      <c r="B307">
        <v>2013</v>
      </c>
      <c r="C307" s="10">
        <v>72752</v>
      </c>
      <c r="D307" t="str">
        <f t="shared" si="4"/>
        <v>2013KY</v>
      </c>
    </row>
    <row r="308" spans="1:4" x14ac:dyDescent="0.25">
      <c r="A308" t="s">
        <v>106</v>
      </c>
      <c r="B308">
        <v>2014</v>
      </c>
      <c r="C308" s="10">
        <v>72579</v>
      </c>
      <c r="D308" t="str">
        <f t="shared" si="4"/>
        <v>2014KY</v>
      </c>
    </row>
    <row r="309" spans="1:4" x14ac:dyDescent="0.25">
      <c r="A309" t="s">
        <v>106</v>
      </c>
      <c r="B309">
        <v>2015</v>
      </c>
      <c r="C309" s="10">
        <v>74535</v>
      </c>
      <c r="D309" t="str">
        <f t="shared" si="4"/>
        <v>2015KY</v>
      </c>
    </row>
    <row r="310" spans="1:4" x14ac:dyDescent="0.25">
      <c r="A310" t="s">
        <v>107</v>
      </c>
      <c r="B310">
        <v>2005</v>
      </c>
      <c r="C310" s="10">
        <v>62596</v>
      </c>
      <c r="D310" t="str">
        <f t="shared" si="4"/>
        <v>2005TN</v>
      </c>
    </row>
    <row r="311" spans="1:4" x14ac:dyDescent="0.25">
      <c r="A311" t="s">
        <v>107</v>
      </c>
      <c r="B311">
        <v>2006</v>
      </c>
      <c r="C311" s="10">
        <v>60769</v>
      </c>
      <c r="D311" t="str">
        <f t="shared" si="4"/>
        <v>2006TN</v>
      </c>
    </row>
    <row r="312" spans="1:4" x14ac:dyDescent="0.25">
      <c r="A312" t="s">
        <v>107</v>
      </c>
      <c r="B312">
        <v>2007</v>
      </c>
      <c r="C312" s="10">
        <v>63395</v>
      </c>
      <c r="D312" t="str">
        <f t="shared" si="4"/>
        <v>2007TN</v>
      </c>
    </row>
    <row r="313" spans="1:4" x14ac:dyDescent="0.25">
      <c r="A313" t="s">
        <v>107</v>
      </c>
      <c r="B313">
        <v>2008</v>
      </c>
      <c r="C313" s="10">
        <v>69784</v>
      </c>
      <c r="D313" t="str">
        <f t="shared" si="4"/>
        <v>2008TN</v>
      </c>
    </row>
    <row r="314" spans="1:4" x14ac:dyDescent="0.25">
      <c r="A314" t="s">
        <v>107</v>
      </c>
      <c r="B314">
        <v>2009</v>
      </c>
      <c r="C314" s="10">
        <v>71313</v>
      </c>
      <c r="D314" t="str">
        <f t="shared" si="4"/>
        <v>2009TN</v>
      </c>
    </row>
    <row r="315" spans="1:4" x14ac:dyDescent="0.25">
      <c r="A315" t="s">
        <v>107</v>
      </c>
      <c r="B315">
        <v>2010</v>
      </c>
      <c r="C315" s="10">
        <v>66273</v>
      </c>
      <c r="D315" t="str">
        <f t="shared" si="4"/>
        <v>2010TN</v>
      </c>
    </row>
    <row r="316" spans="1:4" x14ac:dyDescent="0.25">
      <c r="A316" t="s">
        <v>107</v>
      </c>
      <c r="B316">
        <v>2011</v>
      </c>
      <c r="C316" s="10">
        <v>72771</v>
      </c>
      <c r="D316" t="str">
        <f t="shared" si="4"/>
        <v>2011TN</v>
      </c>
    </row>
    <row r="317" spans="1:4" x14ac:dyDescent="0.25">
      <c r="A317" t="s">
        <v>107</v>
      </c>
      <c r="B317">
        <v>2012</v>
      </c>
      <c r="C317" s="10">
        <v>74432</v>
      </c>
      <c r="D317" t="str">
        <f t="shared" si="4"/>
        <v>2012TN</v>
      </c>
    </row>
    <row r="318" spans="1:4" x14ac:dyDescent="0.25">
      <c r="A318" t="s">
        <v>107</v>
      </c>
      <c r="B318">
        <v>2013</v>
      </c>
      <c r="C318" s="10">
        <v>78361</v>
      </c>
      <c r="D318" t="str">
        <f t="shared" si="4"/>
        <v>2013TN</v>
      </c>
    </row>
    <row r="319" spans="1:4" x14ac:dyDescent="0.25">
      <c r="A319" t="s">
        <v>107</v>
      </c>
      <c r="B319">
        <v>2014</v>
      </c>
      <c r="C319" s="10">
        <v>74061</v>
      </c>
      <c r="D319" t="str">
        <f t="shared" si="4"/>
        <v>2014TN</v>
      </c>
    </row>
    <row r="320" spans="1:4" x14ac:dyDescent="0.25">
      <c r="A320" t="s">
        <v>107</v>
      </c>
      <c r="B320">
        <v>2015</v>
      </c>
      <c r="C320" s="10">
        <v>78987</v>
      </c>
      <c r="D320" t="str">
        <f t="shared" si="4"/>
        <v>2015TN</v>
      </c>
    </row>
    <row r="321" spans="1:4" x14ac:dyDescent="0.25">
      <c r="A321" t="s">
        <v>108</v>
      </c>
      <c r="B321">
        <v>2005</v>
      </c>
      <c r="C321" s="10">
        <v>58701</v>
      </c>
      <c r="D321" t="str">
        <f t="shared" si="4"/>
        <v>2005AL</v>
      </c>
    </row>
    <row r="322" spans="1:4" x14ac:dyDescent="0.25">
      <c r="A322" t="s">
        <v>108</v>
      </c>
      <c r="B322">
        <v>2006</v>
      </c>
      <c r="C322" s="10">
        <v>62771</v>
      </c>
      <c r="D322" t="str">
        <f t="shared" si="4"/>
        <v>2006AL</v>
      </c>
    </row>
    <row r="323" spans="1:4" x14ac:dyDescent="0.25">
      <c r="A323" t="s">
        <v>108</v>
      </c>
      <c r="B323">
        <v>2007</v>
      </c>
      <c r="C323" s="10">
        <v>66386</v>
      </c>
      <c r="D323" t="str">
        <f t="shared" ref="D323:D386" si="5">B323 &amp;A323</f>
        <v>2007AL</v>
      </c>
    </row>
    <row r="324" spans="1:4" x14ac:dyDescent="0.25">
      <c r="A324" t="s">
        <v>108</v>
      </c>
      <c r="B324">
        <v>2008</v>
      </c>
      <c r="C324" s="10">
        <v>68243</v>
      </c>
      <c r="D324" t="str">
        <f t="shared" si="5"/>
        <v>2008AL</v>
      </c>
    </row>
    <row r="325" spans="1:4" x14ac:dyDescent="0.25">
      <c r="A325" t="s">
        <v>108</v>
      </c>
      <c r="B325">
        <v>2009</v>
      </c>
      <c r="C325" s="10">
        <v>67594</v>
      </c>
      <c r="D325" t="str">
        <f t="shared" si="5"/>
        <v>2009AL</v>
      </c>
    </row>
    <row r="326" spans="1:4" x14ac:dyDescent="0.25">
      <c r="A326" t="s">
        <v>108</v>
      </c>
      <c r="B326">
        <v>2010</v>
      </c>
      <c r="C326" s="10">
        <v>72955</v>
      </c>
      <c r="D326" t="str">
        <f t="shared" si="5"/>
        <v>2010AL</v>
      </c>
    </row>
    <row r="327" spans="1:4" x14ac:dyDescent="0.25">
      <c r="A327" t="s">
        <v>108</v>
      </c>
      <c r="B327">
        <v>2011</v>
      </c>
      <c r="C327" s="10">
        <v>66563</v>
      </c>
      <c r="D327" t="str">
        <f t="shared" si="5"/>
        <v>2011AL</v>
      </c>
    </row>
    <row r="328" spans="1:4" x14ac:dyDescent="0.25">
      <c r="A328" t="s">
        <v>108</v>
      </c>
      <c r="B328">
        <v>2012</v>
      </c>
      <c r="C328" s="10">
        <v>70546</v>
      </c>
      <c r="D328" t="str">
        <f t="shared" si="5"/>
        <v>2012AL</v>
      </c>
    </row>
    <row r="329" spans="1:4" x14ac:dyDescent="0.25">
      <c r="A329" t="s">
        <v>108</v>
      </c>
      <c r="B329">
        <v>2013</v>
      </c>
      <c r="C329" s="10">
        <v>77901</v>
      </c>
      <c r="D329" t="str">
        <f t="shared" si="5"/>
        <v>2013AL</v>
      </c>
    </row>
    <row r="330" spans="1:4" x14ac:dyDescent="0.25">
      <c r="A330" t="s">
        <v>108</v>
      </c>
      <c r="B330">
        <v>2014</v>
      </c>
      <c r="C330" s="10">
        <v>78822</v>
      </c>
      <c r="D330" t="str">
        <f t="shared" si="5"/>
        <v>2014AL</v>
      </c>
    </row>
    <row r="331" spans="1:4" x14ac:dyDescent="0.25">
      <c r="A331" t="s">
        <v>108</v>
      </c>
      <c r="B331">
        <v>2015</v>
      </c>
      <c r="C331" s="10">
        <v>79252</v>
      </c>
      <c r="D331" t="str">
        <f t="shared" si="5"/>
        <v>2015AL</v>
      </c>
    </row>
    <row r="332" spans="1:4" x14ac:dyDescent="0.25">
      <c r="A332" t="s">
        <v>109</v>
      </c>
      <c r="B332">
        <v>2005</v>
      </c>
      <c r="C332" s="10">
        <v>63248</v>
      </c>
      <c r="D332" t="str">
        <f t="shared" si="5"/>
        <v>2005FL</v>
      </c>
    </row>
    <row r="333" spans="1:4" x14ac:dyDescent="0.25">
      <c r="A333" t="s">
        <v>109</v>
      </c>
      <c r="B333">
        <v>2006</v>
      </c>
      <c r="C333" s="10">
        <v>65772</v>
      </c>
      <c r="D333" t="str">
        <f t="shared" si="5"/>
        <v>2006FL</v>
      </c>
    </row>
    <row r="334" spans="1:4" x14ac:dyDescent="0.25">
      <c r="A334" t="s">
        <v>109</v>
      </c>
      <c r="B334">
        <v>2007</v>
      </c>
      <c r="C334" s="10">
        <v>67915</v>
      </c>
      <c r="D334" t="str">
        <f t="shared" si="5"/>
        <v>2007FL</v>
      </c>
    </row>
    <row r="335" spans="1:4" x14ac:dyDescent="0.25">
      <c r="A335" t="s">
        <v>109</v>
      </c>
      <c r="B335">
        <v>2008</v>
      </c>
      <c r="C335" s="10">
        <v>70103</v>
      </c>
      <c r="D335" t="str">
        <f t="shared" si="5"/>
        <v>2008FL</v>
      </c>
    </row>
    <row r="336" spans="1:4" x14ac:dyDescent="0.25">
      <c r="A336" t="s">
        <v>109</v>
      </c>
      <c r="B336">
        <v>2009</v>
      </c>
      <c r="C336" s="10">
        <v>70384</v>
      </c>
      <c r="D336" t="str">
        <f t="shared" si="5"/>
        <v>2009FL</v>
      </c>
    </row>
    <row r="337" spans="1:4" x14ac:dyDescent="0.25">
      <c r="A337" t="s">
        <v>109</v>
      </c>
      <c r="B337">
        <v>2010</v>
      </c>
      <c r="C337" s="10">
        <v>69539</v>
      </c>
      <c r="D337" t="str">
        <f t="shared" si="5"/>
        <v>2010FL</v>
      </c>
    </row>
    <row r="338" spans="1:4" x14ac:dyDescent="0.25">
      <c r="A338" t="s">
        <v>109</v>
      </c>
      <c r="B338">
        <v>2011</v>
      </c>
      <c r="C338" s="10">
        <v>73423</v>
      </c>
      <c r="D338" t="str">
        <f t="shared" si="5"/>
        <v>2011FL</v>
      </c>
    </row>
    <row r="339" spans="1:4" x14ac:dyDescent="0.25">
      <c r="A339" t="s">
        <v>109</v>
      </c>
      <c r="B339">
        <v>2012</v>
      </c>
      <c r="C339" s="10">
        <v>79199</v>
      </c>
      <c r="D339" t="str">
        <f t="shared" si="5"/>
        <v>2012FL</v>
      </c>
    </row>
    <row r="340" spans="1:4" x14ac:dyDescent="0.25">
      <c r="A340" t="s">
        <v>109</v>
      </c>
      <c r="B340">
        <v>2013</v>
      </c>
      <c r="C340" s="10">
        <v>79171</v>
      </c>
      <c r="D340" t="str">
        <f t="shared" si="5"/>
        <v>2013FL</v>
      </c>
    </row>
    <row r="341" spans="1:4" x14ac:dyDescent="0.25">
      <c r="A341" t="s">
        <v>109</v>
      </c>
      <c r="B341">
        <v>2014</v>
      </c>
      <c r="C341" s="10">
        <v>79388</v>
      </c>
      <c r="D341" t="str">
        <f t="shared" si="5"/>
        <v>2014FL</v>
      </c>
    </row>
    <row r="342" spans="1:4" x14ac:dyDescent="0.25">
      <c r="A342" t="s">
        <v>109</v>
      </c>
      <c r="B342">
        <v>2015</v>
      </c>
      <c r="C342" s="10">
        <v>86960</v>
      </c>
      <c r="D342" t="str">
        <f t="shared" si="5"/>
        <v>2015FL</v>
      </c>
    </row>
    <row r="343" spans="1:4" x14ac:dyDescent="0.25">
      <c r="A343" t="s">
        <v>110</v>
      </c>
      <c r="B343">
        <v>2005</v>
      </c>
      <c r="C343" s="10">
        <v>70447</v>
      </c>
      <c r="D343" t="str">
        <f t="shared" si="5"/>
        <v>2005GA</v>
      </c>
    </row>
    <row r="344" spans="1:4" x14ac:dyDescent="0.25">
      <c r="A344" t="s">
        <v>110</v>
      </c>
      <c r="B344">
        <v>2006</v>
      </c>
      <c r="C344" s="10">
        <v>70314</v>
      </c>
      <c r="D344" t="str">
        <f t="shared" si="5"/>
        <v>2006GA</v>
      </c>
    </row>
    <row r="345" spans="1:4" x14ac:dyDescent="0.25">
      <c r="A345" t="s">
        <v>110</v>
      </c>
      <c r="B345">
        <v>2007</v>
      </c>
      <c r="C345" s="10">
        <v>72802</v>
      </c>
      <c r="D345" t="str">
        <f t="shared" si="5"/>
        <v>2007GA</v>
      </c>
    </row>
    <row r="346" spans="1:4" x14ac:dyDescent="0.25">
      <c r="A346" t="s">
        <v>110</v>
      </c>
      <c r="B346">
        <v>2008</v>
      </c>
      <c r="C346" s="10">
        <v>75260</v>
      </c>
      <c r="D346" t="str">
        <f t="shared" si="5"/>
        <v>2008GA</v>
      </c>
    </row>
    <row r="347" spans="1:4" x14ac:dyDescent="0.25">
      <c r="A347" t="s">
        <v>110</v>
      </c>
      <c r="B347">
        <v>2009</v>
      </c>
      <c r="C347" s="10">
        <v>75708</v>
      </c>
      <c r="D347" t="str">
        <f t="shared" si="5"/>
        <v>2009GA</v>
      </c>
    </row>
    <row r="348" spans="1:4" x14ac:dyDescent="0.25">
      <c r="A348" t="s">
        <v>110</v>
      </c>
      <c r="B348">
        <v>2010</v>
      </c>
      <c r="C348" s="10">
        <v>81025</v>
      </c>
      <c r="D348" t="str">
        <f t="shared" si="5"/>
        <v>2010GA</v>
      </c>
    </row>
    <row r="349" spans="1:4" x14ac:dyDescent="0.25">
      <c r="A349" t="s">
        <v>110</v>
      </c>
      <c r="B349">
        <v>2011</v>
      </c>
      <c r="C349" s="10">
        <v>80252</v>
      </c>
      <c r="D349" t="str">
        <f t="shared" si="5"/>
        <v>2011GA</v>
      </c>
    </row>
    <row r="350" spans="1:4" x14ac:dyDescent="0.25">
      <c r="A350" t="s">
        <v>110</v>
      </c>
      <c r="B350">
        <v>2012</v>
      </c>
      <c r="C350" s="10">
        <v>84993</v>
      </c>
      <c r="D350" t="str">
        <f t="shared" si="5"/>
        <v>2012GA</v>
      </c>
    </row>
    <row r="351" spans="1:4" x14ac:dyDescent="0.25">
      <c r="A351" t="s">
        <v>110</v>
      </c>
      <c r="B351">
        <v>2013</v>
      </c>
      <c r="C351" s="10">
        <v>89856</v>
      </c>
      <c r="D351" t="str">
        <f t="shared" si="5"/>
        <v>2013GA</v>
      </c>
    </row>
    <row r="352" spans="1:4" x14ac:dyDescent="0.25">
      <c r="A352" t="s">
        <v>110</v>
      </c>
      <c r="B352">
        <v>2014</v>
      </c>
      <c r="C352" s="10">
        <v>86080</v>
      </c>
      <c r="D352" t="str">
        <f t="shared" si="5"/>
        <v>2014GA</v>
      </c>
    </row>
    <row r="353" spans="1:4" x14ac:dyDescent="0.25">
      <c r="A353" t="s">
        <v>110</v>
      </c>
      <c r="B353">
        <v>2015</v>
      </c>
      <c r="C353" s="10">
        <v>94560</v>
      </c>
      <c r="D353" t="str">
        <f t="shared" si="5"/>
        <v>2015GA</v>
      </c>
    </row>
    <row r="354" spans="1:4" x14ac:dyDescent="0.25">
      <c r="A354" t="s">
        <v>111</v>
      </c>
      <c r="B354">
        <v>2005</v>
      </c>
      <c r="C354" s="10">
        <v>56265</v>
      </c>
      <c r="D354" t="str">
        <f t="shared" si="5"/>
        <v>2005SC</v>
      </c>
    </row>
    <row r="355" spans="1:4" x14ac:dyDescent="0.25">
      <c r="A355" t="s">
        <v>111</v>
      </c>
      <c r="B355">
        <v>2006</v>
      </c>
      <c r="C355" s="10">
        <v>57831</v>
      </c>
      <c r="D355" t="str">
        <f t="shared" si="5"/>
        <v>2006SC</v>
      </c>
    </row>
    <row r="356" spans="1:4" x14ac:dyDescent="0.25">
      <c r="A356" t="s">
        <v>111</v>
      </c>
      <c r="B356">
        <v>2007</v>
      </c>
      <c r="C356" s="10">
        <v>68048</v>
      </c>
      <c r="D356" t="str">
        <f t="shared" si="5"/>
        <v>2007SC</v>
      </c>
    </row>
    <row r="357" spans="1:4" x14ac:dyDescent="0.25">
      <c r="A357" t="s">
        <v>111</v>
      </c>
      <c r="B357">
        <v>2008</v>
      </c>
      <c r="C357" s="10">
        <v>68237</v>
      </c>
      <c r="D357" t="str">
        <f t="shared" si="5"/>
        <v>2008SC</v>
      </c>
    </row>
    <row r="358" spans="1:4" x14ac:dyDescent="0.25">
      <c r="A358" t="s">
        <v>111</v>
      </c>
      <c r="B358">
        <v>2009</v>
      </c>
      <c r="C358" s="10">
        <v>60913</v>
      </c>
      <c r="D358" t="str">
        <f t="shared" si="5"/>
        <v>2009SC</v>
      </c>
    </row>
    <row r="359" spans="1:4" x14ac:dyDescent="0.25">
      <c r="A359" t="s">
        <v>111</v>
      </c>
      <c r="B359">
        <v>2010</v>
      </c>
      <c r="C359" s="10">
        <v>69815</v>
      </c>
      <c r="D359" t="str">
        <f t="shared" si="5"/>
        <v>2010SC</v>
      </c>
    </row>
    <row r="360" spans="1:4" x14ac:dyDescent="0.25">
      <c r="A360" t="s">
        <v>111</v>
      </c>
      <c r="B360">
        <v>2011</v>
      </c>
      <c r="C360" s="10">
        <v>68234</v>
      </c>
      <c r="D360" t="str">
        <f t="shared" si="5"/>
        <v>2011SC</v>
      </c>
    </row>
    <row r="361" spans="1:4" x14ac:dyDescent="0.25">
      <c r="A361" t="s">
        <v>111</v>
      </c>
      <c r="B361">
        <v>2012</v>
      </c>
      <c r="C361" s="10">
        <v>78280</v>
      </c>
      <c r="D361" t="str">
        <f t="shared" si="5"/>
        <v>2012SC</v>
      </c>
    </row>
    <row r="362" spans="1:4" x14ac:dyDescent="0.25">
      <c r="A362" t="s">
        <v>111</v>
      </c>
      <c r="B362">
        <v>2013</v>
      </c>
      <c r="C362" s="10">
        <v>78149</v>
      </c>
      <c r="D362" t="str">
        <f t="shared" si="5"/>
        <v>2013SC</v>
      </c>
    </row>
    <row r="363" spans="1:4" x14ac:dyDescent="0.25">
      <c r="A363" t="s">
        <v>111</v>
      </c>
      <c r="B363">
        <v>2014</v>
      </c>
      <c r="C363" s="10">
        <v>73374</v>
      </c>
      <c r="D363" t="str">
        <f t="shared" si="5"/>
        <v>2014SC</v>
      </c>
    </row>
    <row r="364" spans="1:4" x14ac:dyDescent="0.25">
      <c r="A364" t="s">
        <v>111</v>
      </c>
      <c r="B364">
        <v>2015</v>
      </c>
      <c r="C364" s="10">
        <v>81221</v>
      </c>
      <c r="D364" t="str">
        <f t="shared" si="5"/>
        <v>2015SC</v>
      </c>
    </row>
    <row r="365" spans="1:4" x14ac:dyDescent="0.25">
      <c r="A365" t="s">
        <v>112</v>
      </c>
      <c r="B365">
        <v>2005</v>
      </c>
      <c r="C365" s="10">
        <v>66254</v>
      </c>
      <c r="D365" t="str">
        <f t="shared" si="5"/>
        <v>2005NC</v>
      </c>
    </row>
    <row r="366" spans="1:4" x14ac:dyDescent="0.25">
      <c r="A366" t="s">
        <v>112</v>
      </c>
      <c r="B366">
        <v>2006</v>
      </c>
      <c r="C366" s="10">
        <v>70921</v>
      </c>
      <c r="D366" t="str">
        <f t="shared" si="5"/>
        <v>2006NC</v>
      </c>
    </row>
    <row r="367" spans="1:4" x14ac:dyDescent="0.25">
      <c r="A367" t="s">
        <v>112</v>
      </c>
      <c r="B367">
        <v>2007</v>
      </c>
      <c r="C367" s="10">
        <v>67470</v>
      </c>
      <c r="D367" t="str">
        <f t="shared" si="5"/>
        <v>2007NC</v>
      </c>
    </row>
    <row r="368" spans="1:4" x14ac:dyDescent="0.25">
      <c r="A368" t="s">
        <v>112</v>
      </c>
      <c r="B368">
        <v>2008</v>
      </c>
      <c r="C368" s="10">
        <v>72510</v>
      </c>
      <c r="D368" t="str">
        <f t="shared" si="5"/>
        <v>2008NC</v>
      </c>
    </row>
    <row r="369" spans="1:4" x14ac:dyDescent="0.25">
      <c r="A369" t="s">
        <v>112</v>
      </c>
      <c r="B369">
        <v>2009</v>
      </c>
      <c r="C369" s="10">
        <v>73418</v>
      </c>
      <c r="D369" t="str">
        <f t="shared" si="5"/>
        <v>2009NC</v>
      </c>
    </row>
    <row r="370" spans="1:4" x14ac:dyDescent="0.25">
      <c r="A370" t="s">
        <v>112</v>
      </c>
      <c r="B370">
        <v>2010</v>
      </c>
      <c r="C370" s="10">
        <v>77892</v>
      </c>
      <c r="D370" t="str">
        <f t="shared" si="5"/>
        <v>2010NC</v>
      </c>
    </row>
    <row r="371" spans="1:4" x14ac:dyDescent="0.25">
      <c r="A371" t="s">
        <v>112</v>
      </c>
      <c r="B371">
        <v>2011</v>
      </c>
      <c r="C371" s="10">
        <v>79132</v>
      </c>
      <c r="D371" t="str">
        <f t="shared" si="5"/>
        <v>2011NC</v>
      </c>
    </row>
    <row r="372" spans="1:4" x14ac:dyDescent="0.25">
      <c r="A372" t="s">
        <v>112</v>
      </c>
      <c r="B372">
        <v>2012</v>
      </c>
      <c r="C372" s="10">
        <v>83460</v>
      </c>
      <c r="D372" t="str">
        <f t="shared" si="5"/>
        <v>2012NC</v>
      </c>
    </row>
    <row r="373" spans="1:4" x14ac:dyDescent="0.25">
      <c r="A373" t="s">
        <v>112</v>
      </c>
      <c r="B373">
        <v>2013</v>
      </c>
      <c r="C373" s="10">
        <v>85889</v>
      </c>
      <c r="D373" t="str">
        <f t="shared" si="5"/>
        <v>2013NC</v>
      </c>
    </row>
    <row r="374" spans="1:4" x14ac:dyDescent="0.25">
      <c r="A374" t="s">
        <v>112</v>
      </c>
      <c r="B374">
        <v>2014</v>
      </c>
      <c r="C374" s="10">
        <v>87824</v>
      </c>
      <c r="D374" t="str">
        <f t="shared" si="5"/>
        <v>2014NC</v>
      </c>
    </row>
    <row r="375" spans="1:4" x14ac:dyDescent="0.25">
      <c r="A375" t="s">
        <v>112</v>
      </c>
      <c r="B375">
        <v>2015</v>
      </c>
      <c r="C375" s="10">
        <v>89039</v>
      </c>
      <c r="D375" t="str">
        <f t="shared" si="5"/>
        <v>2015NC</v>
      </c>
    </row>
    <row r="376" spans="1:4" x14ac:dyDescent="0.25">
      <c r="A376" t="s">
        <v>113</v>
      </c>
      <c r="B376">
        <v>2005</v>
      </c>
      <c r="C376" s="10">
        <v>61827</v>
      </c>
      <c r="D376" t="str">
        <f t="shared" si="5"/>
        <v>2005OH</v>
      </c>
    </row>
    <row r="377" spans="1:4" x14ac:dyDescent="0.25">
      <c r="A377" t="s">
        <v>113</v>
      </c>
      <c r="B377">
        <v>2006</v>
      </c>
      <c r="C377" s="10">
        <v>62403</v>
      </c>
      <c r="D377" t="str">
        <f t="shared" si="5"/>
        <v>2006OH</v>
      </c>
    </row>
    <row r="378" spans="1:4" x14ac:dyDescent="0.25">
      <c r="A378" t="s">
        <v>113</v>
      </c>
      <c r="B378">
        <v>2007</v>
      </c>
      <c r="C378" s="10">
        <v>64705</v>
      </c>
      <c r="D378" t="str">
        <f t="shared" si="5"/>
        <v>2007OH</v>
      </c>
    </row>
    <row r="379" spans="1:4" x14ac:dyDescent="0.25">
      <c r="A379" t="s">
        <v>113</v>
      </c>
      <c r="B379">
        <v>2008</v>
      </c>
      <c r="C379" s="10">
        <v>63804</v>
      </c>
      <c r="D379" t="str">
        <f t="shared" si="5"/>
        <v>2008OH</v>
      </c>
    </row>
    <row r="380" spans="1:4" x14ac:dyDescent="0.25">
      <c r="A380" t="s">
        <v>113</v>
      </c>
      <c r="B380">
        <v>2009</v>
      </c>
      <c r="C380" s="10">
        <v>68292</v>
      </c>
      <c r="D380" t="str">
        <f t="shared" si="5"/>
        <v>2009OH</v>
      </c>
    </row>
    <row r="381" spans="1:4" x14ac:dyDescent="0.25">
      <c r="A381" t="s">
        <v>113</v>
      </c>
      <c r="B381">
        <v>2010</v>
      </c>
      <c r="C381" s="10">
        <v>68876</v>
      </c>
      <c r="D381" t="str">
        <f t="shared" si="5"/>
        <v>2010OH</v>
      </c>
    </row>
    <row r="382" spans="1:4" x14ac:dyDescent="0.25">
      <c r="A382" t="s">
        <v>113</v>
      </c>
      <c r="B382">
        <v>2011</v>
      </c>
      <c r="C382" s="10">
        <v>70749</v>
      </c>
      <c r="D382" t="str">
        <f t="shared" si="5"/>
        <v>2011OH</v>
      </c>
    </row>
    <row r="383" spans="1:4" x14ac:dyDescent="0.25">
      <c r="A383" t="s">
        <v>113</v>
      </c>
      <c r="B383">
        <v>2012</v>
      </c>
      <c r="C383" s="10">
        <v>77363</v>
      </c>
      <c r="D383" t="str">
        <f t="shared" si="5"/>
        <v>2012OH</v>
      </c>
    </row>
    <row r="384" spans="1:4" x14ac:dyDescent="0.25">
      <c r="A384" t="s">
        <v>113</v>
      </c>
      <c r="B384">
        <v>2013</v>
      </c>
      <c r="C384" s="10">
        <v>78280</v>
      </c>
      <c r="D384" t="str">
        <f t="shared" si="5"/>
        <v>2013OH</v>
      </c>
    </row>
    <row r="385" spans="1:4" x14ac:dyDescent="0.25">
      <c r="A385" t="s">
        <v>113</v>
      </c>
      <c r="B385">
        <v>2014</v>
      </c>
      <c r="C385" s="10">
        <v>76059</v>
      </c>
      <c r="D385" t="str">
        <f t="shared" si="5"/>
        <v>2014OH</v>
      </c>
    </row>
    <row r="386" spans="1:4" x14ac:dyDescent="0.25">
      <c r="A386" t="s">
        <v>113</v>
      </c>
      <c r="B386">
        <v>2015</v>
      </c>
      <c r="C386" s="10">
        <v>83720</v>
      </c>
      <c r="D386" t="str">
        <f t="shared" si="5"/>
        <v>2015OH</v>
      </c>
    </row>
    <row r="387" spans="1:4" x14ac:dyDescent="0.25">
      <c r="A387" t="s">
        <v>114</v>
      </c>
      <c r="B387">
        <v>2005</v>
      </c>
      <c r="C387" s="10">
        <v>72806</v>
      </c>
      <c r="D387" t="str">
        <f t="shared" ref="D387:D450" si="6">B387 &amp;A387</f>
        <v>2005VA</v>
      </c>
    </row>
    <row r="388" spans="1:4" x14ac:dyDescent="0.25">
      <c r="A388" t="s">
        <v>114</v>
      </c>
      <c r="B388">
        <v>2006</v>
      </c>
      <c r="C388" s="10">
        <v>79261</v>
      </c>
      <c r="D388" t="str">
        <f t="shared" si="6"/>
        <v>2006VA</v>
      </c>
    </row>
    <row r="389" spans="1:4" x14ac:dyDescent="0.25">
      <c r="A389" t="s">
        <v>114</v>
      </c>
      <c r="B389">
        <v>2007</v>
      </c>
      <c r="C389" s="10">
        <v>81603</v>
      </c>
      <c r="D389" t="str">
        <f t="shared" si="6"/>
        <v>2007VA</v>
      </c>
    </row>
    <row r="390" spans="1:4" x14ac:dyDescent="0.25">
      <c r="A390" t="s">
        <v>114</v>
      </c>
      <c r="B390">
        <v>2008</v>
      </c>
      <c r="C390" s="10">
        <v>83933</v>
      </c>
      <c r="D390" t="str">
        <f t="shared" si="6"/>
        <v>2008VA</v>
      </c>
    </row>
    <row r="391" spans="1:4" x14ac:dyDescent="0.25">
      <c r="A391" t="s">
        <v>114</v>
      </c>
      <c r="B391">
        <v>2009</v>
      </c>
      <c r="C391" s="10">
        <v>85675</v>
      </c>
      <c r="D391" t="str">
        <f t="shared" si="6"/>
        <v>2009VA</v>
      </c>
    </row>
    <row r="392" spans="1:4" x14ac:dyDescent="0.25">
      <c r="A392" t="s">
        <v>114</v>
      </c>
      <c r="B392">
        <v>2010</v>
      </c>
      <c r="C392" s="10">
        <v>87694</v>
      </c>
      <c r="D392" t="str">
        <f t="shared" si="6"/>
        <v>2010VA</v>
      </c>
    </row>
    <row r="393" spans="1:4" x14ac:dyDescent="0.25">
      <c r="A393" t="s">
        <v>114</v>
      </c>
      <c r="B393">
        <v>2011</v>
      </c>
      <c r="C393" s="10">
        <v>90301</v>
      </c>
      <c r="D393" t="str">
        <f t="shared" si="6"/>
        <v>2011VA</v>
      </c>
    </row>
    <row r="394" spans="1:4" x14ac:dyDescent="0.25">
      <c r="A394" t="s">
        <v>114</v>
      </c>
      <c r="B394">
        <v>2012</v>
      </c>
      <c r="C394" s="10">
        <v>96539</v>
      </c>
      <c r="D394" t="str">
        <f t="shared" si="6"/>
        <v>2012VA</v>
      </c>
    </row>
    <row r="395" spans="1:4" x14ac:dyDescent="0.25">
      <c r="A395" t="s">
        <v>114</v>
      </c>
      <c r="B395">
        <v>2013</v>
      </c>
      <c r="C395" s="10">
        <v>92943</v>
      </c>
      <c r="D395" t="str">
        <f t="shared" si="6"/>
        <v>2013VA</v>
      </c>
    </row>
    <row r="396" spans="1:4" x14ac:dyDescent="0.25">
      <c r="A396" t="s">
        <v>114</v>
      </c>
      <c r="B396">
        <v>2014</v>
      </c>
      <c r="C396" s="10">
        <v>96658</v>
      </c>
      <c r="D396" t="str">
        <f t="shared" si="6"/>
        <v>2014VA</v>
      </c>
    </row>
    <row r="397" spans="1:4" x14ac:dyDescent="0.25">
      <c r="A397" t="s">
        <v>114</v>
      </c>
      <c r="B397">
        <v>2015</v>
      </c>
      <c r="C397" s="10">
        <v>100550</v>
      </c>
      <c r="D397" t="str">
        <f t="shared" si="6"/>
        <v>2015VA</v>
      </c>
    </row>
    <row r="398" spans="1:4" x14ac:dyDescent="0.25">
      <c r="A398" t="s">
        <v>115</v>
      </c>
      <c r="B398">
        <v>2005</v>
      </c>
      <c r="C398" s="10">
        <v>57120</v>
      </c>
      <c r="D398" t="str">
        <f t="shared" si="6"/>
        <v>2005WV</v>
      </c>
    </row>
    <row r="399" spans="1:4" x14ac:dyDescent="0.25">
      <c r="A399" t="s">
        <v>115</v>
      </c>
      <c r="B399">
        <v>2006</v>
      </c>
      <c r="C399" s="10">
        <v>65261</v>
      </c>
      <c r="D399" t="str">
        <f t="shared" si="6"/>
        <v>2006WV</v>
      </c>
    </row>
    <row r="400" spans="1:4" x14ac:dyDescent="0.25">
      <c r="A400" t="s">
        <v>115</v>
      </c>
      <c r="B400">
        <v>2007</v>
      </c>
      <c r="C400" s="10">
        <v>55740</v>
      </c>
      <c r="D400" t="str">
        <f t="shared" si="6"/>
        <v>2007WV</v>
      </c>
    </row>
    <row r="401" spans="1:4" x14ac:dyDescent="0.25">
      <c r="A401" t="s">
        <v>115</v>
      </c>
      <c r="B401">
        <v>2008</v>
      </c>
      <c r="C401" s="10">
        <v>55289</v>
      </c>
      <c r="D401" t="str">
        <f t="shared" si="6"/>
        <v>2008WV</v>
      </c>
    </row>
    <row r="402" spans="1:4" x14ac:dyDescent="0.25">
      <c r="A402" t="s">
        <v>115</v>
      </c>
      <c r="B402">
        <v>2009</v>
      </c>
      <c r="C402" s="10">
        <v>67700</v>
      </c>
      <c r="D402" t="str">
        <f t="shared" si="6"/>
        <v>2009WV</v>
      </c>
    </row>
    <row r="403" spans="1:4" x14ac:dyDescent="0.25">
      <c r="A403" t="s">
        <v>115</v>
      </c>
      <c r="B403">
        <v>2010</v>
      </c>
      <c r="C403" s="10">
        <v>68025</v>
      </c>
      <c r="D403" t="str">
        <f t="shared" si="6"/>
        <v>2010WV</v>
      </c>
    </row>
    <row r="404" spans="1:4" x14ac:dyDescent="0.25">
      <c r="A404" t="s">
        <v>115</v>
      </c>
      <c r="B404">
        <v>2011</v>
      </c>
      <c r="C404" s="10">
        <v>72974</v>
      </c>
      <c r="D404" t="str">
        <f t="shared" si="6"/>
        <v>2011WV</v>
      </c>
    </row>
    <row r="405" spans="1:4" x14ac:dyDescent="0.25">
      <c r="A405" t="s">
        <v>115</v>
      </c>
      <c r="B405">
        <v>2012</v>
      </c>
      <c r="C405" s="10">
        <v>67218</v>
      </c>
      <c r="D405" t="str">
        <f t="shared" si="6"/>
        <v>2012WV</v>
      </c>
    </row>
    <row r="406" spans="1:4" x14ac:dyDescent="0.25">
      <c r="A406" t="s">
        <v>115</v>
      </c>
      <c r="B406">
        <v>2013</v>
      </c>
      <c r="C406" s="10">
        <v>84111</v>
      </c>
      <c r="D406" t="str">
        <f t="shared" si="6"/>
        <v>2013WV</v>
      </c>
    </row>
    <row r="407" spans="1:4" x14ac:dyDescent="0.25">
      <c r="A407" t="s">
        <v>115</v>
      </c>
      <c r="B407">
        <v>2014</v>
      </c>
      <c r="C407" s="10">
        <v>70897</v>
      </c>
      <c r="D407" t="str">
        <f t="shared" si="6"/>
        <v>2014WV</v>
      </c>
    </row>
    <row r="408" spans="1:4" x14ac:dyDescent="0.25">
      <c r="A408" t="s">
        <v>115</v>
      </c>
      <c r="B408">
        <v>2015</v>
      </c>
      <c r="C408" s="10">
        <v>66805</v>
      </c>
      <c r="D408" t="str">
        <f t="shared" si="6"/>
        <v>2015WV</v>
      </c>
    </row>
    <row r="409" spans="1:4" x14ac:dyDescent="0.25">
      <c r="A409" t="s">
        <v>116</v>
      </c>
      <c r="B409">
        <v>2005</v>
      </c>
      <c r="C409" s="10">
        <v>70917</v>
      </c>
      <c r="D409" t="str">
        <f t="shared" si="6"/>
        <v>2005MD</v>
      </c>
    </row>
    <row r="410" spans="1:4" x14ac:dyDescent="0.25">
      <c r="A410" t="s">
        <v>116</v>
      </c>
      <c r="B410">
        <v>2006</v>
      </c>
      <c r="C410" s="10">
        <v>73450</v>
      </c>
      <c r="D410" t="str">
        <f t="shared" si="6"/>
        <v>2006MD</v>
      </c>
    </row>
    <row r="411" spans="1:4" x14ac:dyDescent="0.25">
      <c r="A411" t="s">
        <v>116</v>
      </c>
      <c r="B411">
        <v>2007</v>
      </c>
      <c r="C411" s="10">
        <v>74953</v>
      </c>
      <c r="D411" t="str">
        <f t="shared" si="6"/>
        <v>2007MD</v>
      </c>
    </row>
    <row r="412" spans="1:4" x14ac:dyDescent="0.25">
      <c r="A412" t="s">
        <v>116</v>
      </c>
      <c r="B412">
        <v>2008</v>
      </c>
      <c r="C412" s="10">
        <v>80662</v>
      </c>
      <c r="D412" t="str">
        <f t="shared" si="6"/>
        <v>2008MD</v>
      </c>
    </row>
    <row r="413" spans="1:4" x14ac:dyDescent="0.25">
      <c r="A413" t="s">
        <v>116</v>
      </c>
      <c r="B413">
        <v>2009</v>
      </c>
      <c r="C413" s="10">
        <v>86374</v>
      </c>
      <c r="D413" t="str">
        <f t="shared" si="6"/>
        <v>2009MD</v>
      </c>
    </row>
    <row r="414" spans="1:4" x14ac:dyDescent="0.25">
      <c r="A414" t="s">
        <v>116</v>
      </c>
      <c r="B414">
        <v>2010</v>
      </c>
      <c r="C414" s="10">
        <v>82549</v>
      </c>
      <c r="D414" t="str">
        <f t="shared" si="6"/>
        <v>2010MD</v>
      </c>
    </row>
    <row r="415" spans="1:4" x14ac:dyDescent="0.25">
      <c r="A415" t="s">
        <v>116</v>
      </c>
      <c r="B415">
        <v>2011</v>
      </c>
      <c r="C415" s="10">
        <v>91343</v>
      </c>
      <c r="D415" t="str">
        <f t="shared" si="6"/>
        <v>2011MD</v>
      </c>
    </row>
    <row r="416" spans="1:4" x14ac:dyDescent="0.25">
      <c r="A416" t="s">
        <v>116</v>
      </c>
      <c r="B416">
        <v>2012</v>
      </c>
      <c r="C416" s="10">
        <v>93098</v>
      </c>
      <c r="D416" t="str">
        <f t="shared" si="6"/>
        <v>2012MD</v>
      </c>
    </row>
    <row r="417" spans="1:4" x14ac:dyDescent="0.25">
      <c r="A417" t="s">
        <v>116</v>
      </c>
      <c r="B417">
        <v>2013</v>
      </c>
      <c r="C417" s="10">
        <v>95786</v>
      </c>
      <c r="D417" t="str">
        <f t="shared" si="6"/>
        <v>2013MD</v>
      </c>
    </row>
    <row r="418" spans="1:4" x14ac:dyDescent="0.25">
      <c r="A418" t="s">
        <v>116</v>
      </c>
      <c r="B418">
        <v>2014</v>
      </c>
      <c r="C418" s="10">
        <v>93748</v>
      </c>
      <c r="D418" t="str">
        <f t="shared" si="6"/>
        <v>2014MD</v>
      </c>
    </row>
    <row r="419" spans="1:4" x14ac:dyDescent="0.25">
      <c r="A419" t="s">
        <v>116</v>
      </c>
      <c r="B419">
        <v>2015</v>
      </c>
      <c r="C419" s="10">
        <v>104570</v>
      </c>
      <c r="D419" t="str">
        <f t="shared" si="6"/>
        <v>2015MD</v>
      </c>
    </row>
    <row r="420" spans="1:4" x14ac:dyDescent="0.25">
      <c r="A420" t="s">
        <v>117</v>
      </c>
      <c r="B420">
        <v>2005</v>
      </c>
      <c r="C420" s="10">
        <v>69086</v>
      </c>
      <c r="D420" t="str">
        <f t="shared" si="6"/>
        <v>2005DE</v>
      </c>
    </row>
    <row r="421" spans="1:4" x14ac:dyDescent="0.25">
      <c r="A421" t="s">
        <v>117</v>
      </c>
      <c r="B421">
        <v>2006</v>
      </c>
      <c r="C421" s="10">
        <v>73718</v>
      </c>
      <c r="D421" t="str">
        <f t="shared" si="6"/>
        <v>2006DE</v>
      </c>
    </row>
    <row r="422" spans="1:4" x14ac:dyDescent="0.25">
      <c r="A422" t="s">
        <v>117</v>
      </c>
      <c r="B422">
        <v>2007</v>
      </c>
      <c r="C422" s="10">
        <v>69566</v>
      </c>
      <c r="D422" t="str">
        <f t="shared" si="6"/>
        <v>2007DE</v>
      </c>
    </row>
    <row r="423" spans="1:4" x14ac:dyDescent="0.25">
      <c r="A423" t="s">
        <v>117</v>
      </c>
      <c r="B423">
        <v>2008</v>
      </c>
      <c r="C423" s="10">
        <v>70707</v>
      </c>
      <c r="D423" t="str">
        <f t="shared" si="6"/>
        <v>2008DE</v>
      </c>
    </row>
    <row r="424" spans="1:4" x14ac:dyDescent="0.25">
      <c r="A424" t="s">
        <v>117</v>
      </c>
      <c r="B424">
        <v>2009</v>
      </c>
      <c r="C424" s="10">
        <v>72706</v>
      </c>
      <c r="D424" t="str">
        <f t="shared" si="6"/>
        <v>2009DE</v>
      </c>
    </row>
    <row r="425" spans="1:4" x14ac:dyDescent="0.25">
      <c r="A425" t="s">
        <v>117</v>
      </c>
      <c r="B425">
        <v>2010</v>
      </c>
      <c r="C425" s="10">
        <v>72887</v>
      </c>
      <c r="D425" t="str">
        <f t="shared" si="6"/>
        <v>2010DE</v>
      </c>
    </row>
    <row r="426" spans="1:4" x14ac:dyDescent="0.25">
      <c r="A426" t="s">
        <v>117</v>
      </c>
      <c r="B426">
        <v>2011</v>
      </c>
      <c r="C426" s="10">
        <v>71658</v>
      </c>
      <c r="D426" t="str">
        <f t="shared" si="6"/>
        <v>2011DE</v>
      </c>
    </row>
    <row r="427" spans="1:4" x14ac:dyDescent="0.25">
      <c r="A427" t="s">
        <v>117</v>
      </c>
      <c r="B427">
        <v>2012</v>
      </c>
      <c r="C427" s="10">
        <v>79012</v>
      </c>
      <c r="D427" t="str">
        <f t="shared" si="6"/>
        <v>2012DE</v>
      </c>
    </row>
    <row r="428" spans="1:4" x14ac:dyDescent="0.25">
      <c r="A428" t="s">
        <v>117</v>
      </c>
      <c r="B428">
        <v>2013</v>
      </c>
      <c r="C428" s="10">
        <v>83630</v>
      </c>
      <c r="D428" t="str">
        <f t="shared" si="6"/>
        <v>2013DE</v>
      </c>
    </row>
    <row r="429" spans="1:4" x14ac:dyDescent="0.25">
      <c r="A429" t="s">
        <v>117</v>
      </c>
      <c r="B429">
        <v>2014</v>
      </c>
      <c r="C429" s="10">
        <v>89315</v>
      </c>
      <c r="D429" t="str">
        <f t="shared" si="6"/>
        <v>2014DE</v>
      </c>
    </row>
    <row r="430" spans="1:4" x14ac:dyDescent="0.25">
      <c r="A430" t="s">
        <v>117</v>
      </c>
      <c r="B430">
        <v>2015</v>
      </c>
      <c r="C430" s="10">
        <v>105867</v>
      </c>
      <c r="D430" t="str">
        <f t="shared" si="6"/>
        <v>2015DE</v>
      </c>
    </row>
    <row r="431" spans="1:4" x14ac:dyDescent="0.25">
      <c r="A431" t="s">
        <v>118</v>
      </c>
      <c r="B431">
        <v>2005</v>
      </c>
      <c r="C431" s="10">
        <v>74556</v>
      </c>
      <c r="D431" t="str">
        <f t="shared" si="6"/>
        <v>2005NJ</v>
      </c>
    </row>
    <row r="432" spans="1:4" x14ac:dyDescent="0.25">
      <c r="A432" t="s">
        <v>118</v>
      </c>
      <c r="B432">
        <v>2006</v>
      </c>
      <c r="C432" s="10">
        <v>77058</v>
      </c>
      <c r="D432" t="str">
        <f t="shared" si="6"/>
        <v>2006NJ</v>
      </c>
    </row>
    <row r="433" spans="1:4" x14ac:dyDescent="0.25">
      <c r="A433" t="s">
        <v>118</v>
      </c>
      <c r="B433">
        <v>2007</v>
      </c>
      <c r="C433" s="10">
        <v>78367</v>
      </c>
      <c r="D433" t="str">
        <f t="shared" si="6"/>
        <v>2007NJ</v>
      </c>
    </row>
    <row r="434" spans="1:4" x14ac:dyDescent="0.25">
      <c r="A434" t="s">
        <v>118</v>
      </c>
      <c r="B434">
        <v>2008</v>
      </c>
      <c r="C434" s="10">
        <v>85497</v>
      </c>
      <c r="D434" t="str">
        <f t="shared" si="6"/>
        <v>2008NJ</v>
      </c>
    </row>
    <row r="435" spans="1:4" x14ac:dyDescent="0.25">
      <c r="A435" t="s">
        <v>118</v>
      </c>
      <c r="B435">
        <v>2009</v>
      </c>
      <c r="C435" s="10">
        <v>83617</v>
      </c>
      <c r="D435" t="str">
        <f t="shared" si="6"/>
        <v>2009NJ</v>
      </c>
    </row>
    <row r="436" spans="1:4" x14ac:dyDescent="0.25">
      <c r="A436" t="s">
        <v>118</v>
      </c>
      <c r="B436">
        <v>2010</v>
      </c>
      <c r="C436" s="10">
        <v>86397</v>
      </c>
      <c r="D436" t="str">
        <f t="shared" si="6"/>
        <v>2010NJ</v>
      </c>
    </row>
    <row r="437" spans="1:4" x14ac:dyDescent="0.25">
      <c r="A437" t="s">
        <v>118</v>
      </c>
      <c r="B437">
        <v>2011</v>
      </c>
      <c r="C437" s="10">
        <v>87516</v>
      </c>
      <c r="D437" t="str">
        <f t="shared" si="6"/>
        <v>2011NJ</v>
      </c>
    </row>
    <row r="438" spans="1:4" x14ac:dyDescent="0.25">
      <c r="A438" t="s">
        <v>118</v>
      </c>
      <c r="B438">
        <v>2012</v>
      </c>
      <c r="C438" s="10">
        <v>90039</v>
      </c>
      <c r="D438" t="str">
        <f t="shared" si="6"/>
        <v>2012NJ</v>
      </c>
    </row>
    <row r="439" spans="1:4" x14ac:dyDescent="0.25">
      <c r="A439" t="s">
        <v>118</v>
      </c>
      <c r="B439">
        <v>2013</v>
      </c>
      <c r="C439" s="10">
        <v>96264</v>
      </c>
      <c r="D439" t="str">
        <f t="shared" si="6"/>
        <v>2013NJ</v>
      </c>
    </row>
    <row r="440" spans="1:4" x14ac:dyDescent="0.25">
      <c r="A440" t="s">
        <v>118</v>
      </c>
      <c r="B440">
        <v>2014</v>
      </c>
      <c r="C440" s="10">
        <v>95076</v>
      </c>
      <c r="D440" t="str">
        <f t="shared" si="6"/>
        <v>2014NJ</v>
      </c>
    </row>
    <row r="441" spans="1:4" x14ac:dyDescent="0.25">
      <c r="A441" t="s">
        <v>118</v>
      </c>
      <c r="B441">
        <v>2015</v>
      </c>
      <c r="C441" s="10">
        <v>102980</v>
      </c>
      <c r="D441" t="str">
        <f t="shared" si="6"/>
        <v>2015NJ</v>
      </c>
    </row>
    <row r="442" spans="1:4" x14ac:dyDescent="0.25">
      <c r="A442" t="s">
        <v>119</v>
      </c>
      <c r="B442">
        <v>2005</v>
      </c>
      <c r="C442" s="10">
        <v>64630</v>
      </c>
      <c r="D442" t="str">
        <f t="shared" si="6"/>
        <v>2005PN</v>
      </c>
    </row>
    <row r="443" spans="1:4" x14ac:dyDescent="0.25">
      <c r="A443" t="s">
        <v>119</v>
      </c>
      <c r="B443">
        <v>2006</v>
      </c>
      <c r="C443" s="10">
        <v>66260</v>
      </c>
      <c r="D443" t="str">
        <f t="shared" si="6"/>
        <v>2006PN</v>
      </c>
    </row>
    <row r="444" spans="1:4" x14ac:dyDescent="0.25">
      <c r="A444" t="s">
        <v>119</v>
      </c>
      <c r="B444">
        <v>2007</v>
      </c>
      <c r="C444" s="10">
        <v>69595</v>
      </c>
      <c r="D444" t="str">
        <f t="shared" si="6"/>
        <v>2007PN</v>
      </c>
    </row>
    <row r="445" spans="1:4" x14ac:dyDescent="0.25">
      <c r="A445" t="s">
        <v>119</v>
      </c>
      <c r="B445">
        <v>2008</v>
      </c>
      <c r="C445" s="10">
        <v>72629</v>
      </c>
      <c r="D445" t="str">
        <f t="shared" si="6"/>
        <v>2008PN</v>
      </c>
    </row>
    <row r="446" spans="1:4" x14ac:dyDescent="0.25">
      <c r="A446" t="s">
        <v>119</v>
      </c>
      <c r="B446">
        <v>2009</v>
      </c>
      <c r="C446" s="10">
        <v>72510</v>
      </c>
      <c r="D446" t="str">
        <f t="shared" si="6"/>
        <v>2009PN</v>
      </c>
    </row>
    <row r="447" spans="1:4" x14ac:dyDescent="0.25">
      <c r="A447" t="s">
        <v>119</v>
      </c>
      <c r="B447">
        <v>2010</v>
      </c>
      <c r="C447" s="10">
        <v>74758</v>
      </c>
      <c r="D447" t="str">
        <f t="shared" si="6"/>
        <v>2010PN</v>
      </c>
    </row>
    <row r="448" spans="1:4" x14ac:dyDescent="0.25">
      <c r="A448" t="s">
        <v>119</v>
      </c>
      <c r="B448">
        <v>2011</v>
      </c>
      <c r="C448" s="10">
        <v>73063</v>
      </c>
      <c r="D448" t="str">
        <f t="shared" si="6"/>
        <v>2011PN</v>
      </c>
    </row>
    <row r="449" spans="1:4" x14ac:dyDescent="0.25">
      <c r="A449" t="s">
        <v>119</v>
      </c>
      <c r="B449">
        <v>2012</v>
      </c>
      <c r="C449" s="10">
        <v>78679</v>
      </c>
      <c r="D449" t="str">
        <f t="shared" si="6"/>
        <v>2012PN</v>
      </c>
    </row>
    <row r="450" spans="1:4" x14ac:dyDescent="0.25">
      <c r="A450" t="s">
        <v>119</v>
      </c>
      <c r="B450">
        <v>2013</v>
      </c>
      <c r="C450" s="10">
        <v>81380</v>
      </c>
      <c r="D450" t="str">
        <f t="shared" si="6"/>
        <v>2013PN</v>
      </c>
    </row>
    <row r="451" spans="1:4" x14ac:dyDescent="0.25">
      <c r="A451" t="s">
        <v>119</v>
      </c>
      <c r="B451">
        <v>2014</v>
      </c>
      <c r="C451" s="10">
        <v>84614</v>
      </c>
      <c r="D451" t="str">
        <f t="shared" ref="D451:D514" si="7">B451 &amp;A451</f>
        <v>2014PN</v>
      </c>
    </row>
    <row r="452" spans="1:4" x14ac:dyDescent="0.25">
      <c r="A452" t="s">
        <v>119</v>
      </c>
      <c r="B452">
        <v>2015</v>
      </c>
      <c r="C452" s="10">
        <v>88279</v>
      </c>
      <c r="D452" t="str">
        <f t="shared" si="7"/>
        <v>2015PN</v>
      </c>
    </row>
    <row r="453" spans="1:4" x14ac:dyDescent="0.25">
      <c r="A453" t="s">
        <v>120</v>
      </c>
      <c r="B453">
        <v>2005</v>
      </c>
      <c r="C453" s="10">
        <v>72553</v>
      </c>
      <c r="D453" t="str">
        <f t="shared" si="7"/>
        <v>2005NY</v>
      </c>
    </row>
    <row r="454" spans="1:4" x14ac:dyDescent="0.25">
      <c r="A454" t="s">
        <v>120</v>
      </c>
      <c r="B454">
        <v>2006</v>
      </c>
      <c r="C454" s="10">
        <v>76723</v>
      </c>
      <c r="D454" t="str">
        <f t="shared" si="7"/>
        <v>2006NY</v>
      </c>
    </row>
    <row r="455" spans="1:4" x14ac:dyDescent="0.25">
      <c r="A455" t="s">
        <v>120</v>
      </c>
      <c r="B455">
        <v>2007</v>
      </c>
      <c r="C455" s="10">
        <v>78175</v>
      </c>
      <c r="D455" t="str">
        <f t="shared" si="7"/>
        <v>2007NY</v>
      </c>
    </row>
    <row r="456" spans="1:4" x14ac:dyDescent="0.25">
      <c r="A456" t="s">
        <v>120</v>
      </c>
      <c r="B456">
        <v>2008</v>
      </c>
      <c r="C456" s="10">
        <v>81429</v>
      </c>
      <c r="D456" t="str">
        <f t="shared" si="7"/>
        <v>2008NY</v>
      </c>
    </row>
    <row r="457" spans="1:4" x14ac:dyDescent="0.25">
      <c r="A457" t="s">
        <v>120</v>
      </c>
      <c r="B457">
        <v>2009</v>
      </c>
      <c r="C457" s="10">
        <v>83740</v>
      </c>
      <c r="D457" t="str">
        <f t="shared" si="7"/>
        <v>2009NY</v>
      </c>
    </row>
    <row r="458" spans="1:4" x14ac:dyDescent="0.25">
      <c r="A458" t="s">
        <v>120</v>
      </c>
      <c r="B458">
        <v>2010</v>
      </c>
      <c r="C458" s="10">
        <v>83927</v>
      </c>
      <c r="D458" t="str">
        <f t="shared" si="7"/>
        <v>2010NY</v>
      </c>
    </row>
    <row r="459" spans="1:4" x14ac:dyDescent="0.25">
      <c r="A459" t="s">
        <v>120</v>
      </c>
      <c r="B459">
        <v>2011</v>
      </c>
      <c r="C459" s="10">
        <v>84680</v>
      </c>
      <c r="D459" t="str">
        <f t="shared" si="7"/>
        <v>2011NY</v>
      </c>
    </row>
    <row r="460" spans="1:4" x14ac:dyDescent="0.25">
      <c r="A460" t="s">
        <v>120</v>
      </c>
      <c r="B460">
        <v>2012</v>
      </c>
      <c r="C460" s="10">
        <v>86319</v>
      </c>
      <c r="D460" t="str">
        <f t="shared" si="7"/>
        <v>2012NY</v>
      </c>
    </row>
    <row r="461" spans="1:4" x14ac:dyDescent="0.25">
      <c r="A461" t="s">
        <v>120</v>
      </c>
      <c r="B461">
        <v>2013</v>
      </c>
      <c r="C461" s="10">
        <v>90807</v>
      </c>
      <c r="D461" t="str">
        <f t="shared" si="7"/>
        <v>2013NY</v>
      </c>
    </row>
    <row r="462" spans="1:4" x14ac:dyDescent="0.25">
      <c r="A462" t="s">
        <v>120</v>
      </c>
      <c r="B462">
        <v>2014</v>
      </c>
      <c r="C462" s="10">
        <v>91677</v>
      </c>
      <c r="D462" t="str">
        <f t="shared" si="7"/>
        <v>2014NY</v>
      </c>
    </row>
    <row r="463" spans="1:4" x14ac:dyDescent="0.25">
      <c r="A463" t="s">
        <v>120</v>
      </c>
      <c r="B463">
        <v>2015</v>
      </c>
      <c r="C463" s="10">
        <v>105927</v>
      </c>
      <c r="D463" t="str">
        <f t="shared" si="7"/>
        <v>2015NY</v>
      </c>
    </row>
    <row r="464" spans="1:4" x14ac:dyDescent="0.25">
      <c r="A464" t="s">
        <v>121</v>
      </c>
      <c r="B464">
        <v>2005</v>
      </c>
      <c r="C464" s="10">
        <v>75811</v>
      </c>
      <c r="D464" t="str">
        <f t="shared" si="7"/>
        <v>2005CT</v>
      </c>
    </row>
    <row r="465" spans="1:4" x14ac:dyDescent="0.25">
      <c r="A465" t="s">
        <v>121</v>
      </c>
      <c r="B465">
        <v>2006</v>
      </c>
      <c r="C465" s="10">
        <v>76031</v>
      </c>
      <c r="D465" t="str">
        <f t="shared" si="7"/>
        <v>2006CT</v>
      </c>
    </row>
    <row r="466" spans="1:4" x14ac:dyDescent="0.25">
      <c r="A466" t="s">
        <v>121</v>
      </c>
      <c r="B466">
        <v>2007</v>
      </c>
      <c r="C466" s="10">
        <v>76437</v>
      </c>
      <c r="D466" t="str">
        <f t="shared" si="7"/>
        <v>2007CT</v>
      </c>
    </row>
    <row r="467" spans="1:4" x14ac:dyDescent="0.25">
      <c r="A467" t="s">
        <v>121</v>
      </c>
      <c r="B467">
        <v>2008</v>
      </c>
      <c r="C467" s="10">
        <v>77878</v>
      </c>
      <c r="D467" t="str">
        <f t="shared" si="7"/>
        <v>2008CT</v>
      </c>
    </row>
    <row r="468" spans="1:4" x14ac:dyDescent="0.25">
      <c r="A468" t="s">
        <v>121</v>
      </c>
      <c r="B468">
        <v>2009</v>
      </c>
      <c r="C468" s="10">
        <v>85687</v>
      </c>
      <c r="D468" t="str">
        <f t="shared" si="7"/>
        <v>2009CT</v>
      </c>
    </row>
    <row r="469" spans="1:4" x14ac:dyDescent="0.25">
      <c r="A469" t="s">
        <v>121</v>
      </c>
      <c r="B469">
        <v>2010</v>
      </c>
      <c r="C469" s="10">
        <v>82342</v>
      </c>
      <c r="D469" t="str">
        <f t="shared" si="7"/>
        <v>2010CT</v>
      </c>
    </row>
    <row r="470" spans="1:4" x14ac:dyDescent="0.25">
      <c r="A470" t="s">
        <v>121</v>
      </c>
      <c r="B470">
        <v>2011</v>
      </c>
      <c r="C470" s="10">
        <v>91120</v>
      </c>
      <c r="D470" t="str">
        <f t="shared" si="7"/>
        <v>2011CT</v>
      </c>
    </row>
    <row r="471" spans="1:4" x14ac:dyDescent="0.25">
      <c r="A471" t="s">
        <v>121</v>
      </c>
      <c r="B471">
        <v>2012</v>
      </c>
      <c r="C471" s="10">
        <v>85952</v>
      </c>
      <c r="D471" t="str">
        <f t="shared" si="7"/>
        <v>2012CT</v>
      </c>
    </row>
    <row r="472" spans="1:4" x14ac:dyDescent="0.25">
      <c r="A472" t="s">
        <v>121</v>
      </c>
      <c r="B472">
        <v>2013</v>
      </c>
      <c r="C472" s="10">
        <v>89317</v>
      </c>
      <c r="D472" t="str">
        <f t="shared" si="7"/>
        <v>2013CT</v>
      </c>
    </row>
    <row r="473" spans="1:4" x14ac:dyDescent="0.25">
      <c r="A473" t="s">
        <v>121</v>
      </c>
      <c r="B473">
        <v>2014</v>
      </c>
      <c r="C473" s="10">
        <v>92395</v>
      </c>
      <c r="D473" t="str">
        <f t="shared" si="7"/>
        <v>2014CT</v>
      </c>
    </row>
    <row r="474" spans="1:4" x14ac:dyDescent="0.25">
      <c r="A474" t="s">
        <v>121</v>
      </c>
      <c r="B474">
        <v>2015</v>
      </c>
      <c r="C474" s="10">
        <v>93296</v>
      </c>
      <c r="D474" t="str">
        <f t="shared" si="7"/>
        <v>2015CT</v>
      </c>
    </row>
    <row r="475" spans="1:4" x14ac:dyDescent="0.25">
      <c r="A475" t="s">
        <v>122</v>
      </c>
      <c r="B475">
        <v>2005</v>
      </c>
      <c r="C475" s="10">
        <v>67985</v>
      </c>
      <c r="D475" t="str">
        <f t="shared" si="7"/>
        <v>2005RI</v>
      </c>
    </row>
    <row r="476" spans="1:4" x14ac:dyDescent="0.25">
      <c r="A476" t="s">
        <v>122</v>
      </c>
      <c r="B476">
        <v>2006</v>
      </c>
      <c r="C476" s="10">
        <v>69666</v>
      </c>
      <c r="D476" t="str">
        <f t="shared" si="7"/>
        <v>2006RI</v>
      </c>
    </row>
    <row r="477" spans="1:4" x14ac:dyDescent="0.25">
      <c r="A477" t="s">
        <v>122</v>
      </c>
      <c r="B477">
        <v>2007</v>
      </c>
      <c r="C477" s="10">
        <v>65892</v>
      </c>
      <c r="D477" t="str">
        <f t="shared" si="7"/>
        <v>2007RI</v>
      </c>
    </row>
    <row r="478" spans="1:4" x14ac:dyDescent="0.25">
      <c r="A478" t="s">
        <v>122</v>
      </c>
      <c r="B478">
        <v>2008</v>
      </c>
      <c r="C478" s="10">
        <v>78435</v>
      </c>
      <c r="D478" t="str">
        <f t="shared" si="7"/>
        <v>2008RI</v>
      </c>
    </row>
    <row r="479" spans="1:4" x14ac:dyDescent="0.25">
      <c r="A479" t="s">
        <v>122</v>
      </c>
      <c r="B479">
        <v>2009</v>
      </c>
      <c r="C479" s="10">
        <v>78199</v>
      </c>
      <c r="D479" t="str">
        <f t="shared" si="7"/>
        <v>2009RI</v>
      </c>
    </row>
    <row r="480" spans="1:4" x14ac:dyDescent="0.25">
      <c r="A480" t="s">
        <v>122</v>
      </c>
      <c r="B480">
        <v>2010</v>
      </c>
      <c r="C480" s="10">
        <v>74858</v>
      </c>
      <c r="D480" t="str">
        <f t="shared" si="7"/>
        <v>2010RI</v>
      </c>
    </row>
    <row r="481" spans="1:4" x14ac:dyDescent="0.25">
      <c r="A481" t="s">
        <v>122</v>
      </c>
      <c r="B481">
        <v>2011</v>
      </c>
      <c r="C481" s="10">
        <v>78397</v>
      </c>
      <c r="D481" t="str">
        <f t="shared" si="7"/>
        <v>2011RI</v>
      </c>
    </row>
    <row r="482" spans="1:4" x14ac:dyDescent="0.25">
      <c r="A482" t="s">
        <v>122</v>
      </c>
      <c r="B482">
        <v>2012</v>
      </c>
      <c r="C482" s="10">
        <v>83265</v>
      </c>
      <c r="D482" t="str">
        <f t="shared" si="7"/>
        <v>2012RI</v>
      </c>
    </row>
    <row r="483" spans="1:4" x14ac:dyDescent="0.25">
      <c r="A483" t="s">
        <v>122</v>
      </c>
      <c r="B483">
        <v>2013</v>
      </c>
      <c r="C483" s="10">
        <v>85555</v>
      </c>
      <c r="D483" t="str">
        <f t="shared" si="7"/>
        <v>2013RI</v>
      </c>
    </row>
    <row r="484" spans="1:4" x14ac:dyDescent="0.25">
      <c r="A484" t="s">
        <v>122</v>
      </c>
      <c r="B484">
        <v>2014</v>
      </c>
      <c r="C484" s="10">
        <v>89595</v>
      </c>
      <c r="D484" t="str">
        <f t="shared" si="7"/>
        <v>2014RI</v>
      </c>
    </row>
    <row r="485" spans="1:4" x14ac:dyDescent="0.25">
      <c r="A485" t="s">
        <v>122</v>
      </c>
      <c r="B485">
        <v>2015</v>
      </c>
      <c r="C485" s="10">
        <v>82945</v>
      </c>
      <c r="D485" t="str">
        <f t="shared" si="7"/>
        <v>2015RI</v>
      </c>
    </row>
    <row r="486" spans="1:4" x14ac:dyDescent="0.25">
      <c r="A486" t="s">
        <v>123</v>
      </c>
      <c r="B486">
        <v>2005</v>
      </c>
      <c r="C486" s="10">
        <v>77467</v>
      </c>
      <c r="D486" t="str">
        <f t="shared" si="7"/>
        <v>2005MA</v>
      </c>
    </row>
    <row r="487" spans="1:4" x14ac:dyDescent="0.25">
      <c r="A487" t="s">
        <v>123</v>
      </c>
      <c r="B487">
        <v>2006</v>
      </c>
      <c r="C487" s="10">
        <v>79464</v>
      </c>
      <c r="D487" t="str">
        <f t="shared" si="7"/>
        <v>2006MA</v>
      </c>
    </row>
    <row r="488" spans="1:4" x14ac:dyDescent="0.25">
      <c r="A488" t="s">
        <v>123</v>
      </c>
      <c r="B488">
        <v>2007</v>
      </c>
      <c r="C488" s="10">
        <v>82771</v>
      </c>
      <c r="D488" t="str">
        <f t="shared" si="7"/>
        <v>2007MA</v>
      </c>
    </row>
    <row r="489" spans="1:4" x14ac:dyDescent="0.25">
      <c r="A489" t="s">
        <v>123</v>
      </c>
      <c r="B489">
        <v>2008</v>
      </c>
      <c r="C489" s="10">
        <v>84271</v>
      </c>
      <c r="D489" t="str">
        <f t="shared" si="7"/>
        <v>2008MA</v>
      </c>
    </row>
    <row r="490" spans="1:4" x14ac:dyDescent="0.25">
      <c r="A490" t="s">
        <v>123</v>
      </c>
      <c r="B490">
        <v>2009</v>
      </c>
      <c r="C490" s="10">
        <v>84854</v>
      </c>
      <c r="D490" t="str">
        <f t="shared" si="7"/>
        <v>2009MA</v>
      </c>
    </row>
    <row r="491" spans="1:4" x14ac:dyDescent="0.25">
      <c r="A491" t="s">
        <v>123</v>
      </c>
      <c r="B491">
        <v>2010</v>
      </c>
      <c r="C491" s="10">
        <v>86541</v>
      </c>
      <c r="D491" t="str">
        <f t="shared" si="7"/>
        <v>2010MA</v>
      </c>
    </row>
    <row r="492" spans="1:4" x14ac:dyDescent="0.25">
      <c r="A492" t="s">
        <v>123</v>
      </c>
      <c r="B492">
        <v>2011</v>
      </c>
      <c r="C492" s="10">
        <v>88872</v>
      </c>
      <c r="D492" t="str">
        <f t="shared" si="7"/>
        <v>2011MA</v>
      </c>
    </row>
    <row r="493" spans="1:4" x14ac:dyDescent="0.25">
      <c r="A493" t="s">
        <v>123</v>
      </c>
      <c r="B493">
        <v>2012</v>
      </c>
      <c r="C493" s="10">
        <v>94890</v>
      </c>
      <c r="D493" t="str">
        <f t="shared" si="7"/>
        <v>2012MA</v>
      </c>
    </row>
    <row r="494" spans="1:4" x14ac:dyDescent="0.25">
      <c r="A494" t="s">
        <v>123</v>
      </c>
      <c r="B494">
        <v>2013</v>
      </c>
      <c r="C494" s="10">
        <v>95264</v>
      </c>
      <c r="D494" t="str">
        <f t="shared" si="7"/>
        <v>2013MA</v>
      </c>
    </row>
    <row r="495" spans="1:4" x14ac:dyDescent="0.25">
      <c r="A495" t="s">
        <v>123</v>
      </c>
      <c r="B495">
        <v>2014</v>
      </c>
      <c r="C495" s="10">
        <v>96751</v>
      </c>
      <c r="D495" t="str">
        <f t="shared" si="7"/>
        <v>2014MA</v>
      </c>
    </row>
    <row r="496" spans="1:4" x14ac:dyDescent="0.25">
      <c r="A496" t="s">
        <v>123</v>
      </c>
      <c r="B496">
        <v>2015</v>
      </c>
      <c r="C496" s="10">
        <v>103373</v>
      </c>
      <c r="D496" t="str">
        <f t="shared" si="7"/>
        <v>2015MA</v>
      </c>
    </row>
    <row r="497" spans="1:4" x14ac:dyDescent="0.25">
      <c r="A497" t="s">
        <v>124</v>
      </c>
      <c r="B497">
        <v>2005</v>
      </c>
      <c r="C497" s="10">
        <v>78181</v>
      </c>
      <c r="D497" t="str">
        <f t="shared" si="7"/>
        <v>2005VT</v>
      </c>
    </row>
    <row r="498" spans="1:4" x14ac:dyDescent="0.25">
      <c r="A498" t="s">
        <v>124</v>
      </c>
      <c r="B498">
        <v>2006</v>
      </c>
      <c r="C498" s="10">
        <v>65040</v>
      </c>
      <c r="D498" t="str">
        <f t="shared" si="7"/>
        <v>2006VT</v>
      </c>
    </row>
    <row r="499" spans="1:4" x14ac:dyDescent="0.25">
      <c r="A499" t="s">
        <v>124</v>
      </c>
      <c r="B499">
        <v>2007</v>
      </c>
      <c r="C499" s="10">
        <v>77321</v>
      </c>
      <c r="D499" t="str">
        <f t="shared" si="7"/>
        <v>2007VT</v>
      </c>
    </row>
    <row r="500" spans="1:4" x14ac:dyDescent="0.25">
      <c r="A500" t="s">
        <v>124</v>
      </c>
      <c r="B500">
        <v>2008</v>
      </c>
      <c r="C500" s="10">
        <v>87497</v>
      </c>
      <c r="D500" t="str">
        <f t="shared" si="7"/>
        <v>2008VT</v>
      </c>
    </row>
    <row r="501" spans="1:4" x14ac:dyDescent="0.25">
      <c r="A501" t="s">
        <v>124</v>
      </c>
      <c r="B501">
        <v>2009</v>
      </c>
      <c r="C501" s="10">
        <v>61082</v>
      </c>
      <c r="D501" t="str">
        <f t="shared" si="7"/>
        <v>2009VT</v>
      </c>
    </row>
    <row r="502" spans="1:4" x14ac:dyDescent="0.25">
      <c r="A502" t="s">
        <v>124</v>
      </c>
      <c r="B502">
        <v>2010</v>
      </c>
      <c r="C502" s="10">
        <v>67626</v>
      </c>
      <c r="D502" t="str">
        <f t="shared" si="7"/>
        <v>2010VT</v>
      </c>
    </row>
    <row r="503" spans="1:4" x14ac:dyDescent="0.25">
      <c r="A503" t="s">
        <v>124</v>
      </c>
      <c r="B503">
        <v>2011</v>
      </c>
      <c r="C503" s="10">
        <v>62896</v>
      </c>
      <c r="D503" t="str">
        <f t="shared" si="7"/>
        <v>2011VT</v>
      </c>
    </row>
    <row r="504" spans="1:4" x14ac:dyDescent="0.25">
      <c r="A504" t="s">
        <v>124</v>
      </c>
      <c r="B504">
        <v>2012</v>
      </c>
      <c r="C504" s="10">
        <v>69346</v>
      </c>
      <c r="D504" t="str">
        <f t="shared" si="7"/>
        <v>2012VT</v>
      </c>
    </row>
    <row r="505" spans="1:4" x14ac:dyDescent="0.25">
      <c r="A505" t="s">
        <v>124</v>
      </c>
      <c r="B505">
        <v>2013</v>
      </c>
      <c r="C505" s="10">
        <v>80809</v>
      </c>
      <c r="D505" t="str">
        <f t="shared" si="7"/>
        <v>2013VT</v>
      </c>
    </row>
    <row r="506" spans="1:4" x14ac:dyDescent="0.25">
      <c r="A506" t="s">
        <v>124</v>
      </c>
      <c r="B506">
        <v>2014</v>
      </c>
      <c r="C506" s="10">
        <v>87484</v>
      </c>
      <c r="D506" t="str">
        <f t="shared" si="7"/>
        <v>2014VT</v>
      </c>
    </row>
    <row r="507" spans="1:4" x14ac:dyDescent="0.25">
      <c r="A507" t="s">
        <v>124</v>
      </c>
      <c r="B507">
        <v>2015</v>
      </c>
      <c r="C507" s="10">
        <v>77758</v>
      </c>
      <c r="D507" t="str">
        <f t="shared" si="7"/>
        <v>2015VT</v>
      </c>
    </row>
    <row r="508" spans="1:4" x14ac:dyDescent="0.25">
      <c r="A508" t="s">
        <v>125</v>
      </c>
      <c r="B508">
        <v>2005</v>
      </c>
      <c r="C508" s="10">
        <v>67575</v>
      </c>
      <c r="D508" t="str">
        <f t="shared" si="7"/>
        <v>2005NH</v>
      </c>
    </row>
    <row r="509" spans="1:4" x14ac:dyDescent="0.25">
      <c r="A509" t="s">
        <v>125</v>
      </c>
      <c r="B509">
        <v>2006</v>
      </c>
      <c r="C509" s="10">
        <v>79292</v>
      </c>
      <c r="D509" t="str">
        <f t="shared" si="7"/>
        <v>2006NH</v>
      </c>
    </row>
    <row r="510" spans="1:4" x14ac:dyDescent="0.25">
      <c r="A510" t="s">
        <v>125</v>
      </c>
      <c r="B510">
        <v>2007</v>
      </c>
      <c r="C510" s="10">
        <v>76911</v>
      </c>
      <c r="D510" t="str">
        <f t="shared" si="7"/>
        <v>2007NH</v>
      </c>
    </row>
    <row r="511" spans="1:4" x14ac:dyDescent="0.25">
      <c r="A511" t="s">
        <v>125</v>
      </c>
      <c r="B511">
        <v>2008</v>
      </c>
      <c r="C511" s="10">
        <v>80057</v>
      </c>
      <c r="D511" t="str">
        <f t="shared" si="7"/>
        <v>2008NH</v>
      </c>
    </row>
    <row r="512" spans="1:4" x14ac:dyDescent="0.25">
      <c r="A512" t="s">
        <v>125</v>
      </c>
      <c r="B512">
        <v>2009</v>
      </c>
      <c r="C512" s="10">
        <v>83610</v>
      </c>
      <c r="D512" t="str">
        <f t="shared" si="7"/>
        <v>2009NH</v>
      </c>
    </row>
    <row r="513" spans="1:4" x14ac:dyDescent="0.25">
      <c r="A513" t="s">
        <v>125</v>
      </c>
      <c r="B513">
        <v>2010</v>
      </c>
      <c r="C513" s="10">
        <v>76385</v>
      </c>
      <c r="D513" t="str">
        <f t="shared" si="7"/>
        <v>2010NH</v>
      </c>
    </row>
    <row r="514" spans="1:4" x14ac:dyDescent="0.25">
      <c r="A514" t="s">
        <v>125</v>
      </c>
      <c r="B514">
        <v>2011</v>
      </c>
      <c r="C514" s="10">
        <v>72860</v>
      </c>
      <c r="D514" t="str">
        <f t="shared" si="7"/>
        <v>2011NH</v>
      </c>
    </row>
    <row r="515" spans="1:4" x14ac:dyDescent="0.25">
      <c r="A515" t="s">
        <v>125</v>
      </c>
      <c r="B515">
        <v>2012</v>
      </c>
      <c r="C515" s="10">
        <v>90159</v>
      </c>
      <c r="D515" t="str">
        <f t="shared" ref="D515:D529" si="8">B515 &amp;A515</f>
        <v>2012NH</v>
      </c>
    </row>
    <row r="516" spans="1:4" x14ac:dyDescent="0.25">
      <c r="A516" t="s">
        <v>125</v>
      </c>
      <c r="B516">
        <v>2013</v>
      </c>
      <c r="C516" s="10">
        <v>85394</v>
      </c>
      <c r="D516" t="str">
        <f t="shared" si="8"/>
        <v>2013NH</v>
      </c>
    </row>
    <row r="517" spans="1:4" x14ac:dyDescent="0.25">
      <c r="A517" t="s">
        <v>125</v>
      </c>
      <c r="B517">
        <v>2014</v>
      </c>
      <c r="C517" s="10">
        <v>86438</v>
      </c>
      <c r="D517" t="str">
        <f t="shared" si="8"/>
        <v>2014NH</v>
      </c>
    </row>
    <row r="518" spans="1:4" x14ac:dyDescent="0.25">
      <c r="A518" t="s">
        <v>125</v>
      </c>
      <c r="B518">
        <v>2015</v>
      </c>
      <c r="C518" s="10">
        <v>95462</v>
      </c>
      <c r="D518" t="str">
        <f t="shared" si="8"/>
        <v>2015NH</v>
      </c>
    </row>
    <row r="519" spans="1:4" x14ac:dyDescent="0.25">
      <c r="A519" t="s">
        <v>126</v>
      </c>
      <c r="B519">
        <v>2005</v>
      </c>
      <c r="C519" s="10">
        <v>69540</v>
      </c>
      <c r="D519" t="str">
        <f t="shared" si="8"/>
        <v>2005ME</v>
      </c>
    </row>
    <row r="520" spans="1:4" x14ac:dyDescent="0.25">
      <c r="A520" t="s">
        <v>126</v>
      </c>
      <c r="B520">
        <v>2006</v>
      </c>
      <c r="C520" s="10">
        <v>60980</v>
      </c>
      <c r="D520" t="str">
        <f t="shared" si="8"/>
        <v>2006ME</v>
      </c>
    </row>
    <row r="521" spans="1:4" x14ac:dyDescent="0.25">
      <c r="A521" t="s">
        <v>126</v>
      </c>
      <c r="B521">
        <v>2007</v>
      </c>
      <c r="C521" s="10">
        <v>64165</v>
      </c>
      <c r="D521" t="str">
        <f t="shared" si="8"/>
        <v>2007ME</v>
      </c>
    </row>
    <row r="522" spans="1:4" x14ac:dyDescent="0.25">
      <c r="A522" t="s">
        <v>126</v>
      </c>
      <c r="B522">
        <v>2008</v>
      </c>
      <c r="C522" t="s">
        <v>127</v>
      </c>
      <c r="D522" t="str">
        <f t="shared" si="8"/>
        <v>2008ME</v>
      </c>
    </row>
    <row r="523" spans="1:4" x14ac:dyDescent="0.25">
      <c r="A523" t="s">
        <v>126</v>
      </c>
      <c r="B523">
        <v>2009</v>
      </c>
      <c r="C523" s="10">
        <v>67361</v>
      </c>
      <c r="D523" t="str">
        <f t="shared" si="8"/>
        <v>2009ME</v>
      </c>
    </row>
    <row r="524" spans="1:4" x14ac:dyDescent="0.25">
      <c r="A524" t="s">
        <v>126</v>
      </c>
      <c r="B524">
        <v>2010</v>
      </c>
      <c r="C524" s="10">
        <v>68909</v>
      </c>
      <c r="D524" t="str">
        <f t="shared" si="8"/>
        <v>2010ME</v>
      </c>
    </row>
    <row r="525" spans="1:4" x14ac:dyDescent="0.25">
      <c r="A525" t="s">
        <v>126</v>
      </c>
      <c r="B525">
        <v>2011</v>
      </c>
      <c r="C525" s="10">
        <v>67940</v>
      </c>
      <c r="D525" t="str">
        <f t="shared" si="8"/>
        <v>2011ME</v>
      </c>
    </row>
    <row r="526" spans="1:4" x14ac:dyDescent="0.25">
      <c r="A526" t="s">
        <v>126</v>
      </c>
      <c r="B526">
        <v>2012</v>
      </c>
      <c r="C526" s="10">
        <v>78253</v>
      </c>
      <c r="D526" t="str">
        <f t="shared" si="8"/>
        <v>2012ME</v>
      </c>
    </row>
    <row r="527" spans="1:4" x14ac:dyDescent="0.25">
      <c r="A527" t="s">
        <v>126</v>
      </c>
      <c r="B527">
        <v>2013</v>
      </c>
      <c r="C527" s="10">
        <v>75728</v>
      </c>
      <c r="D527" t="str">
        <f t="shared" si="8"/>
        <v>2013ME</v>
      </c>
    </row>
    <row r="528" spans="1:4" x14ac:dyDescent="0.25">
      <c r="A528" t="s">
        <v>126</v>
      </c>
      <c r="B528">
        <v>2014</v>
      </c>
      <c r="C528" s="10">
        <v>87212</v>
      </c>
      <c r="D528" t="str">
        <f t="shared" si="8"/>
        <v>2014ME</v>
      </c>
    </row>
    <row r="529" spans="1:4" x14ac:dyDescent="0.25">
      <c r="A529" t="s">
        <v>126</v>
      </c>
      <c r="B529">
        <v>2015</v>
      </c>
      <c r="C529" s="10">
        <v>67715</v>
      </c>
      <c r="D529" t="str">
        <f t="shared" si="8"/>
        <v>2015ME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6"/>
  <sheetViews>
    <sheetView workbookViewId="0">
      <selection activeCell="H29" sqref="H29"/>
    </sheetView>
  </sheetViews>
  <sheetFormatPr defaultRowHeight="15.75" x14ac:dyDescent="0.25"/>
  <sheetData>
    <row r="1" spans="1:23" x14ac:dyDescent="0.25">
      <c r="A1" t="s">
        <v>142</v>
      </c>
      <c r="B1" t="s">
        <v>143</v>
      </c>
      <c r="C1" t="s">
        <v>144</v>
      </c>
      <c r="D1" t="s">
        <v>145</v>
      </c>
      <c r="E1" t="s">
        <v>146</v>
      </c>
      <c r="F1" t="s">
        <v>147</v>
      </c>
      <c r="G1" t="s">
        <v>148</v>
      </c>
      <c r="H1" t="s">
        <v>149</v>
      </c>
      <c r="I1" t="s">
        <v>150</v>
      </c>
      <c r="J1" t="s">
        <v>151</v>
      </c>
      <c r="K1" t="s">
        <v>152</v>
      </c>
      <c r="L1" t="s">
        <v>153</v>
      </c>
      <c r="M1" t="s">
        <v>154</v>
      </c>
      <c r="N1" t="s">
        <v>155</v>
      </c>
      <c r="O1" t="s">
        <v>156</v>
      </c>
      <c r="P1" t="s">
        <v>157</v>
      </c>
      <c r="Q1" t="s">
        <v>158</v>
      </c>
      <c r="R1" t="s">
        <v>159</v>
      </c>
      <c r="S1" t="s">
        <v>160</v>
      </c>
      <c r="T1" t="s">
        <v>161</v>
      </c>
      <c r="U1" t="s">
        <v>162</v>
      </c>
      <c r="V1" t="s">
        <v>163</v>
      </c>
      <c r="W1" t="s">
        <v>164</v>
      </c>
    </row>
    <row r="2" spans="1:23" x14ac:dyDescent="0.25">
      <c r="A2" t="s">
        <v>165</v>
      </c>
      <c r="B2" t="s">
        <v>126</v>
      </c>
      <c r="C2" t="s">
        <v>32</v>
      </c>
      <c r="D2" t="s">
        <v>166</v>
      </c>
      <c r="E2" t="s">
        <v>167</v>
      </c>
      <c r="F2" t="s">
        <v>168</v>
      </c>
      <c r="G2" t="s">
        <v>169</v>
      </c>
      <c r="H2" t="s">
        <v>170</v>
      </c>
      <c r="I2" t="s">
        <v>171</v>
      </c>
      <c r="J2">
        <v>59130</v>
      </c>
      <c r="K2" t="s">
        <v>172</v>
      </c>
      <c r="L2" t="s">
        <v>173</v>
      </c>
      <c r="M2" t="s">
        <v>174</v>
      </c>
      <c r="N2" t="s">
        <v>175</v>
      </c>
      <c r="O2" t="s">
        <v>176</v>
      </c>
      <c r="P2" t="s">
        <v>177</v>
      </c>
      <c r="Q2" t="s">
        <v>178</v>
      </c>
      <c r="R2" t="s">
        <v>179</v>
      </c>
      <c r="S2" t="s">
        <v>180</v>
      </c>
      <c r="T2" t="s">
        <v>181</v>
      </c>
      <c r="U2" t="s">
        <v>182</v>
      </c>
    </row>
    <row r="3" spans="1:23" x14ac:dyDescent="0.25">
      <c r="A3" t="s">
        <v>165</v>
      </c>
      <c r="B3" t="s">
        <v>126</v>
      </c>
      <c r="C3" t="s">
        <v>32</v>
      </c>
      <c r="D3" t="s">
        <v>183</v>
      </c>
      <c r="E3" t="s">
        <v>184</v>
      </c>
      <c r="G3" t="s">
        <v>185</v>
      </c>
      <c r="H3" t="s">
        <v>186</v>
      </c>
      <c r="I3" t="s">
        <v>187</v>
      </c>
      <c r="J3">
        <v>58040</v>
      </c>
      <c r="K3" t="s">
        <v>188</v>
      </c>
      <c r="L3" t="s">
        <v>189</v>
      </c>
      <c r="M3" t="s">
        <v>190</v>
      </c>
      <c r="N3" t="s">
        <v>191</v>
      </c>
      <c r="O3" t="s">
        <v>192</v>
      </c>
      <c r="P3" t="s">
        <v>193</v>
      </c>
      <c r="Q3" t="s">
        <v>194</v>
      </c>
      <c r="R3" t="s">
        <v>195</v>
      </c>
      <c r="S3" t="s">
        <v>196</v>
      </c>
      <c r="T3" t="s">
        <v>197</v>
      </c>
      <c r="U3" t="s">
        <v>198</v>
      </c>
    </row>
    <row r="4" spans="1:23" x14ac:dyDescent="0.25">
      <c r="A4" t="s">
        <v>165</v>
      </c>
      <c r="B4" t="s">
        <v>126</v>
      </c>
      <c r="C4" t="s">
        <v>32</v>
      </c>
      <c r="D4" t="s">
        <v>199</v>
      </c>
      <c r="E4" t="s">
        <v>200</v>
      </c>
      <c r="G4" t="s">
        <v>201</v>
      </c>
      <c r="H4" t="s">
        <v>202</v>
      </c>
      <c r="I4" t="s">
        <v>203</v>
      </c>
      <c r="J4">
        <v>63650</v>
      </c>
      <c r="K4" t="s">
        <v>170</v>
      </c>
      <c r="L4" t="s">
        <v>204</v>
      </c>
      <c r="M4" t="s">
        <v>205</v>
      </c>
      <c r="N4" t="s">
        <v>206</v>
      </c>
      <c r="O4" t="s">
        <v>207</v>
      </c>
      <c r="P4" t="s">
        <v>208</v>
      </c>
      <c r="Q4" t="s">
        <v>209</v>
      </c>
      <c r="R4" t="s">
        <v>210</v>
      </c>
      <c r="S4" t="s">
        <v>211</v>
      </c>
      <c r="T4" t="s">
        <v>212</v>
      </c>
      <c r="U4" t="s">
        <v>213</v>
      </c>
    </row>
    <row r="5" spans="1:23" x14ac:dyDescent="0.25">
      <c r="A5" t="s">
        <v>165</v>
      </c>
      <c r="B5" t="s">
        <v>126</v>
      </c>
      <c r="C5" t="s">
        <v>32</v>
      </c>
      <c r="D5" t="s">
        <v>214</v>
      </c>
      <c r="E5" t="s">
        <v>215</v>
      </c>
      <c r="G5" t="s">
        <v>216</v>
      </c>
      <c r="H5" t="s">
        <v>217</v>
      </c>
      <c r="I5" t="s">
        <v>218</v>
      </c>
      <c r="J5">
        <v>76200</v>
      </c>
      <c r="K5" t="s">
        <v>219</v>
      </c>
      <c r="L5" t="s">
        <v>220</v>
      </c>
      <c r="M5" t="s">
        <v>221</v>
      </c>
      <c r="N5" t="s">
        <v>222</v>
      </c>
      <c r="O5" t="s">
        <v>223</v>
      </c>
      <c r="P5" t="s">
        <v>224</v>
      </c>
      <c r="Q5" t="s">
        <v>225</v>
      </c>
      <c r="R5" t="s">
        <v>226</v>
      </c>
      <c r="S5" t="s">
        <v>227</v>
      </c>
      <c r="T5" t="s">
        <v>228</v>
      </c>
      <c r="U5" t="s">
        <v>229</v>
      </c>
    </row>
    <row r="6" spans="1:23" x14ac:dyDescent="0.25">
      <c r="A6" t="s">
        <v>165</v>
      </c>
      <c r="B6" t="s">
        <v>126</v>
      </c>
      <c r="C6" t="s">
        <v>32</v>
      </c>
      <c r="D6" t="s">
        <v>230</v>
      </c>
      <c r="E6" t="s">
        <v>231</v>
      </c>
      <c r="G6" t="s">
        <v>232</v>
      </c>
      <c r="H6" t="s">
        <v>233</v>
      </c>
      <c r="I6" t="s">
        <v>234</v>
      </c>
      <c r="J6">
        <v>40740</v>
      </c>
      <c r="K6" t="s">
        <v>235</v>
      </c>
      <c r="L6" t="s">
        <v>236</v>
      </c>
      <c r="M6" t="s">
        <v>237</v>
      </c>
      <c r="N6" t="s">
        <v>238</v>
      </c>
      <c r="O6" t="s">
        <v>239</v>
      </c>
      <c r="P6" t="s">
        <v>240</v>
      </c>
      <c r="Q6" t="s">
        <v>241</v>
      </c>
      <c r="R6" t="s">
        <v>242</v>
      </c>
      <c r="S6" t="s">
        <v>243</v>
      </c>
      <c r="T6" t="s">
        <v>244</v>
      </c>
      <c r="U6" t="s">
        <v>245</v>
      </c>
    </row>
    <row r="7" spans="1:23" x14ac:dyDescent="0.25">
      <c r="A7" t="s">
        <v>165</v>
      </c>
      <c r="B7" t="s">
        <v>126</v>
      </c>
      <c r="C7" t="s">
        <v>32</v>
      </c>
      <c r="D7" t="s">
        <v>246</v>
      </c>
      <c r="E7" t="s">
        <v>247</v>
      </c>
      <c r="G7" t="s">
        <v>248</v>
      </c>
      <c r="H7" t="s">
        <v>249</v>
      </c>
      <c r="I7" t="s">
        <v>250</v>
      </c>
      <c r="J7">
        <v>70060</v>
      </c>
      <c r="K7" t="s">
        <v>251</v>
      </c>
      <c r="L7" t="s">
        <v>252</v>
      </c>
      <c r="M7" t="s">
        <v>253</v>
      </c>
      <c r="N7" t="s">
        <v>254</v>
      </c>
      <c r="O7" t="s">
        <v>255</v>
      </c>
      <c r="P7" t="s">
        <v>256</v>
      </c>
      <c r="Q7" t="s">
        <v>257</v>
      </c>
      <c r="R7" t="s">
        <v>258</v>
      </c>
      <c r="S7" t="s">
        <v>259</v>
      </c>
      <c r="T7" t="s">
        <v>260</v>
      </c>
      <c r="U7" t="s">
        <v>261</v>
      </c>
    </row>
    <row r="8" spans="1:23" x14ac:dyDescent="0.25">
      <c r="A8" t="s">
        <v>165</v>
      </c>
      <c r="B8" t="s">
        <v>126</v>
      </c>
      <c r="C8" t="s">
        <v>32</v>
      </c>
      <c r="D8" t="s">
        <v>262</v>
      </c>
      <c r="E8" t="s">
        <v>263</v>
      </c>
      <c r="G8" t="s">
        <v>264</v>
      </c>
      <c r="H8" t="s">
        <v>265</v>
      </c>
      <c r="I8" t="s">
        <v>266</v>
      </c>
      <c r="J8">
        <v>63450</v>
      </c>
      <c r="K8" t="s">
        <v>267</v>
      </c>
      <c r="L8" t="s">
        <v>268</v>
      </c>
      <c r="M8" t="s">
        <v>269</v>
      </c>
      <c r="N8" t="s">
        <v>270</v>
      </c>
      <c r="O8" t="s">
        <v>271</v>
      </c>
      <c r="P8" t="s">
        <v>272</v>
      </c>
      <c r="Q8" t="s">
        <v>273</v>
      </c>
      <c r="R8" t="s">
        <v>274</v>
      </c>
      <c r="S8" t="s">
        <v>275</v>
      </c>
      <c r="T8" t="s">
        <v>276</v>
      </c>
      <c r="U8" t="s">
        <v>277</v>
      </c>
    </row>
    <row r="9" spans="1:23" x14ac:dyDescent="0.25">
      <c r="A9" t="s">
        <v>165</v>
      </c>
      <c r="B9" t="s">
        <v>126</v>
      </c>
      <c r="C9" t="s">
        <v>32</v>
      </c>
      <c r="D9" t="s">
        <v>278</v>
      </c>
      <c r="E9" t="s">
        <v>279</v>
      </c>
      <c r="G9" t="s">
        <v>280</v>
      </c>
      <c r="H9" t="s">
        <v>281</v>
      </c>
      <c r="I9" t="s">
        <v>282</v>
      </c>
      <c r="J9">
        <v>58540</v>
      </c>
      <c r="K9" t="s">
        <v>283</v>
      </c>
      <c r="L9" t="s">
        <v>284</v>
      </c>
      <c r="M9" t="s">
        <v>285</v>
      </c>
      <c r="N9" t="s">
        <v>286</v>
      </c>
      <c r="O9" t="s">
        <v>287</v>
      </c>
      <c r="P9" t="s">
        <v>288</v>
      </c>
      <c r="Q9" t="s">
        <v>289</v>
      </c>
      <c r="R9" t="s">
        <v>290</v>
      </c>
      <c r="S9" t="s">
        <v>291</v>
      </c>
      <c r="T9" t="s">
        <v>292</v>
      </c>
      <c r="U9" t="s">
        <v>293</v>
      </c>
    </row>
    <row r="10" spans="1:23" x14ac:dyDescent="0.25">
      <c r="A10" t="s">
        <v>165</v>
      </c>
      <c r="B10" t="s">
        <v>126</v>
      </c>
      <c r="C10" t="s">
        <v>32</v>
      </c>
      <c r="D10" t="s">
        <v>294</v>
      </c>
      <c r="E10" t="s">
        <v>295</v>
      </c>
      <c r="G10" t="s">
        <v>296</v>
      </c>
      <c r="H10" t="s">
        <v>297</v>
      </c>
      <c r="I10" t="s">
        <v>298</v>
      </c>
      <c r="J10">
        <v>66220</v>
      </c>
      <c r="K10" t="s">
        <v>299</v>
      </c>
      <c r="L10" t="s">
        <v>300</v>
      </c>
      <c r="M10" t="s">
        <v>301</v>
      </c>
      <c r="N10" t="s">
        <v>302</v>
      </c>
      <c r="O10" t="s">
        <v>303</v>
      </c>
      <c r="P10" t="s">
        <v>304</v>
      </c>
      <c r="Q10" t="s">
        <v>305</v>
      </c>
      <c r="R10" t="s">
        <v>306</v>
      </c>
      <c r="S10" t="s">
        <v>307</v>
      </c>
      <c r="T10" t="s">
        <v>308</v>
      </c>
      <c r="U10" t="s">
        <v>309</v>
      </c>
    </row>
    <row r="11" spans="1:23" x14ac:dyDescent="0.25">
      <c r="A11" t="s">
        <v>165</v>
      </c>
      <c r="B11" t="s">
        <v>126</v>
      </c>
      <c r="C11" t="s">
        <v>32</v>
      </c>
      <c r="D11" t="s">
        <v>310</v>
      </c>
      <c r="E11" t="s">
        <v>311</v>
      </c>
      <c r="G11" t="s">
        <v>312</v>
      </c>
      <c r="H11" t="s">
        <v>313</v>
      </c>
      <c r="I11" t="s">
        <v>314</v>
      </c>
      <c r="J11">
        <v>64350</v>
      </c>
      <c r="K11" t="s">
        <v>251</v>
      </c>
      <c r="L11" t="s">
        <v>204</v>
      </c>
      <c r="M11" t="s">
        <v>315</v>
      </c>
      <c r="N11" t="s">
        <v>316</v>
      </c>
      <c r="O11" t="s">
        <v>317</v>
      </c>
      <c r="P11" t="s">
        <v>318</v>
      </c>
      <c r="Q11" t="s">
        <v>319</v>
      </c>
      <c r="R11" t="s">
        <v>320</v>
      </c>
      <c r="S11" t="s">
        <v>321</v>
      </c>
      <c r="T11" t="s">
        <v>322</v>
      </c>
      <c r="U11" t="s">
        <v>323</v>
      </c>
    </row>
    <row r="12" spans="1:23" x14ac:dyDescent="0.25">
      <c r="A12" t="s">
        <v>165</v>
      </c>
      <c r="B12" t="s">
        <v>126</v>
      </c>
      <c r="C12" t="s">
        <v>32</v>
      </c>
      <c r="D12" t="s">
        <v>324</v>
      </c>
      <c r="E12" t="s">
        <v>325</v>
      </c>
      <c r="G12" t="s">
        <v>326</v>
      </c>
      <c r="H12" t="s">
        <v>327</v>
      </c>
      <c r="I12" t="s">
        <v>328</v>
      </c>
      <c r="J12">
        <v>59500</v>
      </c>
      <c r="K12" t="s">
        <v>329</v>
      </c>
      <c r="L12" t="s">
        <v>330</v>
      </c>
      <c r="M12" t="s">
        <v>252</v>
      </c>
      <c r="N12" t="s">
        <v>331</v>
      </c>
      <c r="O12" t="s">
        <v>332</v>
      </c>
      <c r="P12" t="s">
        <v>333</v>
      </c>
      <c r="Q12" t="s">
        <v>334</v>
      </c>
      <c r="R12" t="s">
        <v>335</v>
      </c>
      <c r="S12" t="s">
        <v>336</v>
      </c>
      <c r="T12" t="s">
        <v>337</v>
      </c>
      <c r="U12" t="s">
        <v>338</v>
      </c>
    </row>
    <row r="13" spans="1:23" x14ac:dyDescent="0.25">
      <c r="A13" t="s">
        <v>165</v>
      </c>
      <c r="B13" t="s">
        <v>126</v>
      </c>
      <c r="C13" t="s">
        <v>32</v>
      </c>
      <c r="D13" t="s">
        <v>339</v>
      </c>
      <c r="E13" t="s">
        <v>340</v>
      </c>
      <c r="G13" t="s">
        <v>341</v>
      </c>
      <c r="H13" t="s">
        <v>342</v>
      </c>
      <c r="I13" t="s">
        <v>343</v>
      </c>
      <c r="J13">
        <v>62170</v>
      </c>
      <c r="K13" t="s">
        <v>344</v>
      </c>
      <c r="L13" t="s">
        <v>345</v>
      </c>
      <c r="M13" t="s">
        <v>346</v>
      </c>
      <c r="N13" t="s">
        <v>347</v>
      </c>
      <c r="O13" t="s">
        <v>348</v>
      </c>
      <c r="P13" t="s">
        <v>349</v>
      </c>
      <c r="Q13" t="s">
        <v>350</v>
      </c>
      <c r="R13" t="s">
        <v>351</v>
      </c>
      <c r="S13" t="s">
        <v>352</v>
      </c>
      <c r="T13" t="s">
        <v>353</v>
      </c>
      <c r="U13" t="s">
        <v>354</v>
      </c>
    </row>
    <row r="14" spans="1:23" x14ac:dyDescent="0.25">
      <c r="A14" t="s">
        <v>165</v>
      </c>
      <c r="B14" t="s">
        <v>126</v>
      </c>
      <c r="C14" t="s">
        <v>32</v>
      </c>
      <c r="D14" t="s">
        <v>355</v>
      </c>
      <c r="E14" t="s">
        <v>356</v>
      </c>
      <c r="G14" t="s">
        <v>357</v>
      </c>
      <c r="H14" t="s">
        <v>358</v>
      </c>
      <c r="I14" t="s">
        <v>359</v>
      </c>
      <c r="J14">
        <v>51440</v>
      </c>
      <c r="K14" t="s">
        <v>299</v>
      </c>
      <c r="L14" t="s">
        <v>360</v>
      </c>
      <c r="M14" t="s">
        <v>361</v>
      </c>
      <c r="N14" t="s">
        <v>362</v>
      </c>
      <c r="O14" t="s">
        <v>363</v>
      </c>
      <c r="P14" t="s">
        <v>364</v>
      </c>
      <c r="Q14" t="s">
        <v>365</v>
      </c>
      <c r="R14" t="s">
        <v>366</v>
      </c>
      <c r="S14" t="s">
        <v>367</v>
      </c>
      <c r="T14" t="s">
        <v>368</v>
      </c>
      <c r="U14" t="s">
        <v>369</v>
      </c>
    </row>
    <row r="15" spans="1:23" x14ac:dyDescent="0.25">
      <c r="E15" t="s">
        <v>0</v>
      </c>
      <c r="J15">
        <v>61037.692307692305</v>
      </c>
    </row>
    <row r="16" spans="1:23" x14ac:dyDescent="0.25">
      <c r="E16" t="s">
        <v>370</v>
      </c>
      <c r="J16">
        <v>62038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1"/>
  <sheetViews>
    <sheetView workbookViewId="0">
      <selection activeCell="B2" sqref="B2:B51"/>
    </sheetView>
  </sheetViews>
  <sheetFormatPr defaultRowHeight="15.75" x14ac:dyDescent="0.25"/>
  <sheetData>
    <row r="1" spans="1:2" x14ac:dyDescent="0.25">
      <c r="A1" t="s">
        <v>134</v>
      </c>
      <c r="B1" t="s">
        <v>135</v>
      </c>
    </row>
    <row r="2" spans="1:2" x14ac:dyDescent="0.25">
      <c r="A2" t="s">
        <v>50</v>
      </c>
      <c r="B2" t="s">
        <v>108</v>
      </c>
    </row>
    <row r="3" spans="1:2" x14ac:dyDescent="0.25">
      <c r="A3" t="s">
        <v>49</v>
      </c>
      <c r="B3" t="s">
        <v>136</v>
      </c>
    </row>
    <row r="4" spans="1:2" x14ac:dyDescent="0.25">
      <c r="A4" t="s">
        <v>48</v>
      </c>
      <c r="B4" t="s">
        <v>83</v>
      </c>
    </row>
    <row r="5" spans="1:2" x14ac:dyDescent="0.25">
      <c r="A5" t="s">
        <v>47</v>
      </c>
      <c r="B5" t="s">
        <v>97</v>
      </c>
    </row>
    <row r="6" spans="1:2" x14ac:dyDescent="0.25">
      <c r="A6" t="s">
        <v>46</v>
      </c>
      <c r="B6" t="s">
        <v>81</v>
      </c>
    </row>
    <row r="7" spans="1:2" x14ac:dyDescent="0.25">
      <c r="A7" t="s">
        <v>45</v>
      </c>
      <c r="B7" t="s">
        <v>94</v>
      </c>
    </row>
    <row r="8" spans="1:2" x14ac:dyDescent="0.25">
      <c r="A8" t="s">
        <v>44</v>
      </c>
      <c r="B8" t="s">
        <v>121</v>
      </c>
    </row>
    <row r="9" spans="1:2" x14ac:dyDescent="0.25">
      <c r="A9" t="s">
        <v>43</v>
      </c>
      <c r="B9" t="s">
        <v>117</v>
      </c>
    </row>
    <row r="10" spans="1:2" x14ac:dyDescent="0.25">
      <c r="A10" t="s">
        <v>42</v>
      </c>
      <c r="B10" t="s">
        <v>109</v>
      </c>
    </row>
    <row r="11" spans="1:2" x14ac:dyDescent="0.25">
      <c r="A11" t="s">
        <v>41</v>
      </c>
      <c r="B11" t="s">
        <v>110</v>
      </c>
    </row>
    <row r="12" spans="1:2" x14ac:dyDescent="0.25">
      <c r="A12" t="s">
        <v>40</v>
      </c>
      <c r="B12" t="s">
        <v>137</v>
      </c>
    </row>
    <row r="13" spans="1:2" x14ac:dyDescent="0.25">
      <c r="A13" t="s">
        <v>39</v>
      </c>
      <c r="B13" t="s">
        <v>92</v>
      </c>
    </row>
    <row r="14" spans="1:2" x14ac:dyDescent="0.25">
      <c r="A14" t="s">
        <v>38</v>
      </c>
      <c r="B14" t="s">
        <v>104</v>
      </c>
    </row>
    <row r="15" spans="1:2" x14ac:dyDescent="0.25">
      <c r="A15" t="s">
        <v>37</v>
      </c>
      <c r="B15" t="s">
        <v>105</v>
      </c>
    </row>
    <row r="16" spans="1:2" x14ac:dyDescent="0.25">
      <c r="A16" t="s">
        <v>36</v>
      </c>
      <c r="B16" t="s">
        <v>100</v>
      </c>
    </row>
    <row r="17" spans="1:2" x14ac:dyDescent="0.25">
      <c r="A17" t="s">
        <v>35</v>
      </c>
      <c r="B17" t="s">
        <v>87</v>
      </c>
    </row>
    <row r="18" spans="1:2" x14ac:dyDescent="0.25">
      <c r="A18" t="s">
        <v>34</v>
      </c>
      <c r="B18" t="s">
        <v>106</v>
      </c>
    </row>
    <row r="19" spans="1:2" x14ac:dyDescent="0.25">
      <c r="A19" t="s">
        <v>33</v>
      </c>
      <c r="B19" t="s">
        <v>96</v>
      </c>
    </row>
    <row r="20" spans="1:2" x14ac:dyDescent="0.25">
      <c r="A20" t="s">
        <v>32</v>
      </c>
      <c r="B20" t="s">
        <v>126</v>
      </c>
    </row>
    <row r="21" spans="1:2" x14ac:dyDescent="0.25">
      <c r="A21" t="s">
        <v>31</v>
      </c>
      <c r="B21" t="s">
        <v>116</v>
      </c>
    </row>
    <row r="22" spans="1:2" x14ac:dyDescent="0.25">
      <c r="A22" t="s">
        <v>30</v>
      </c>
      <c r="B22" t="s">
        <v>123</v>
      </c>
    </row>
    <row r="23" spans="1:2" x14ac:dyDescent="0.25">
      <c r="A23" t="s">
        <v>29</v>
      </c>
      <c r="B23" t="s">
        <v>103</v>
      </c>
    </row>
    <row r="24" spans="1:2" x14ac:dyDescent="0.25">
      <c r="A24" t="s">
        <v>28</v>
      </c>
      <c r="B24" t="s">
        <v>101</v>
      </c>
    </row>
    <row r="25" spans="1:2" x14ac:dyDescent="0.25">
      <c r="A25" t="s">
        <v>27</v>
      </c>
      <c r="B25" t="s">
        <v>98</v>
      </c>
    </row>
    <row r="26" spans="1:2" x14ac:dyDescent="0.25">
      <c r="A26" t="s">
        <v>26</v>
      </c>
      <c r="B26" t="s">
        <v>99</v>
      </c>
    </row>
    <row r="27" spans="1:2" x14ac:dyDescent="0.25">
      <c r="A27" t="s">
        <v>25</v>
      </c>
      <c r="B27" t="s">
        <v>91</v>
      </c>
    </row>
    <row r="28" spans="1:2" x14ac:dyDescent="0.25">
      <c r="A28" t="s">
        <v>24</v>
      </c>
      <c r="B28" t="s">
        <v>88</v>
      </c>
    </row>
    <row r="29" spans="1:2" x14ac:dyDescent="0.25">
      <c r="A29" t="s">
        <v>23</v>
      </c>
      <c r="B29" t="s">
        <v>82</v>
      </c>
    </row>
    <row r="30" spans="1:2" x14ac:dyDescent="0.25">
      <c r="A30" t="s">
        <v>22</v>
      </c>
      <c r="B30" t="s">
        <v>125</v>
      </c>
    </row>
    <row r="31" spans="1:2" x14ac:dyDescent="0.25">
      <c r="A31" t="s">
        <v>21</v>
      </c>
      <c r="B31" t="s">
        <v>118</v>
      </c>
    </row>
    <row r="32" spans="1:2" x14ac:dyDescent="0.25">
      <c r="A32" t="s">
        <v>20</v>
      </c>
      <c r="B32" t="s">
        <v>84</v>
      </c>
    </row>
    <row r="33" spans="1:2" x14ac:dyDescent="0.25">
      <c r="A33" t="s">
        <v>19</v>
      </c>
      <c r="B33" t="s">
        <v>120</v>
      </c>
    </row>
    <row r="34" spans="1:2" x14ac:dyDescent="0.25">
      <c r="A34" t="s">
        <v>18</v>
      </c>
      <c r="B34" t="s">
        <v>112</v>
      </c>
    </row>
    <row r="35" spans="1:2" x14ac:dyDescent="0.25">
      <c r="A35" t="s">
        <v>17</v>
      </c>
      <c r="B35" t="s">
        <v>90</v>
      </c>
    </row>
    <row r="36" spans="1:2" x14ac:dyDescent="0.25">
      <c r="A36" t="s">
        <v>16</v>
      </c>
      <c r="B36" t="s">
        <v>113</v>
      </c>
    </row>
    <row r="37" spans="1:2" x14ac:dyDescent="0.25">
      <c r="A37" t="s">
        <v>15</v>
      </c>
      <c r="B37" t="s">
        <v>86</v>
      </c>
    </row>
    <row r="38" spans="1:2" x14ac:dyDescent="0.25">
      <c r="A38" t="s">
        <v>14</v>
      </c>
      <c r="B38" t="s">
        <v>80</v>
      </c>
    </row>
    <row r="39" spans="1:2" x14ac:dyDescent="0.25">
      <c r="A39" t="s">
        <v>13</v>
      </c>
      <c r="B39" t="s">
        <v>138</v>
      </c>
    </row>
    <row r="40" spans="1:2" x14ac:dyDescent="0.25">
      <c r="A40" t="s">
        <v>12</v>
      </c>
      <c r="B40" t="s">
        <v>122</v>
      </c>
    </row>
    <row r="41" spans="1:2" x14ac:dyDescent="0.25">
      <c r="A41" t="s">
        <v>11</v>
      </c>
      <c r="B41" t="s">
        <v>111</v>
      </c>
    </row>
    <row r="42" spans="1:2" x14ac:dyDescent="0.25">
      <c r="A42" t="s">
        <v>10</v>
      </c>
      <c r="B42" t="s">
        <v>89</v>
      </c>
    </row>
    <row r="43" spans="1:2" x14ac:dyDescent="0.25">
      <c r="A43" t="s">
        <v>9</v>
      </c>
      <c r="B43" t="s">
        <v>107</v>
      </c>
    </row>
    <row r="44" spans="1:2" x14ac:dyDescent="0.25">
      <c r="A44" t="s">
        <v>8</v>
      </c>
      <c r="B44" t="s">
        <v>85</v>
      </c>
    </row>
    <row r="45" spans="1:2" x14ac:dyDescent="0.25">
      <c r="A45" t="s">
        <v>7</v>
      </c>
      <c r="B45" t="s">
        <v>93</v>
      </c>
    </row>
    <row r="46" spans="1:2" x14ac:dyDescent="0.25">
      <c r="A46" t="s">
        <v>6</v>
      </c>
      <c r="B46" t="s">
        <v>124</v>
      </c>
    </row>
    <row r="47" spans="1:2" x14ac:dyDescent="0.25">
      <c r="A47" t="s">
        <v>5</v>
      </c>
      <c r="B47" t="s">
        <v>114</v>
      </c>
    </row>
    <row r="48" spans="1:2" x14ac:dyDescent="0.25">
      <c r="A48" t="s">
        <v>4</v>
      </c>
      <c r="B48" t="s">
        <v>79</v>
      </c>
    </row>
    <row r="49" spans="1:2" x14ac:dyDescent="0.25">
      <c r="A49" t="s">
        <v>3</v>
      </c>
      <c r="B49" t="s">
        <v>115</v>
      </c>
    </row>
    <row r="50" spans="1:2" x14ac:dyDescent="0.25">
      <c r="A50" t="s">
        <v>2</v>
      </c>
      <c r="B50" t="s">
        <v>102</v>
      </c>
    </row>
    <row r="51" spans="1:2" x14ac:dyDescent="0.25">
      <c r="A51" t="s">
        <v>1</v>
      </c>
      <c r="B51" t="s">
        <v>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4"/>
  <sheetViews>
    <sheetView tabSelected="1" workbookViewId="0">
      <selection activeCell="A5" sqref="A5"/>
    </sheetView>
  </sheetViews>
  <sheetFormatPr defaultRowHeight="15.75" x14ac:dyDescent="0.25"/>
  <sheetData>
    <row r="1" spans="1:3" x14ac:dyDescent="0.25">
      <c r="A1" t="s">
        <v>128</v>
      </c>
      <c r="B1" s="11" t="s">
        <v>129</v>
      </c>
    </row>
    <row r="2" spans="1:3" x14ac:dyDescent="0.25">
      <c r="A2" t="s">
        <v>130</v>
      </c>
      <c r="B2" s="11" t="s">
        <v>131</v>
      </c>
      <c r="C2" s="11"/>
    </row>
    <row r="3" spans="1:3" x14ac:dyDescent="0.25">
      <c r="A3" t="s">
        <v>139</v>
      </c>
      <c r="B3" s="11" t="s">
        <v>140</v>
      </c>
    </row>
    <row r="4" spans="1:3" x14ac:dyDescent="0.25">
      <c r="A4" t="s">
        <v>372</v>
      </c>
      <c r="B4" s="11" t="s">
        <v>371</v>
      </c>
    </row>
  </sheetData>
  <hyperlinks>
    <hyperlink ref="B1" r:id="rId1"/>
    <hyperlink ref="B2" r:id="rId2"/>
    <hyperlink ref="B3" r:id="rId3"/>
    <hyperlink ref="B4" r:id="rId4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itif-rank</vt:lpstr>
      <vt:lpstr>itif-score</vt:lpstr>
      <vt:lpstr>itif-selections</vt:lpstr>
      <vt:lpstr>dice-salary</vt:lpstr>
      <vt:lpstr>maine-bls-2008</vt:lpstr>
      <vt:lpstr>states</vt:lpstr>
      <vt:lpstr>meta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Nager, Adams</dc:creator>
  <cp:lastModifiedBy>John Vandivier</cp:lastModifiedBy>
  <dcterms:created xsi:type="dcterms:W3CDTF">2014-06-13T15:34:32Z</dcterms:created>
  <dcterms:modified xsi:type="dcterms:W3CDTF">2016-10-29T20:21:59Z</dcterms:modified>
</cp:coreProperties>
</file>